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GitHub\AML\SemNov_AML_DAAI_23-24\treshold_setting\"/>
    </mc:Choice>
  </mc:AlternateContent>
  <xr:revisionPtr revIDLastSave="0" documentId="8_{0F5E0BF7-3ECF-4708-A805-A6825CBBE67F}" xr6:coauthVersionLast="47" xr6:coauthVersionMax="47" xr10:uidLastSave="{00000000-0000-0000-0000-000000000000}"/>
  <bookViews>
    <workbookView xWindow="-28710" yWindow="-1275" windowWidth="21600" windowHeight="15555" activeTab="1" xr2:uid="{0B484270-AE1F-462D-B125-AEB16ECF98A4}"/>
  </bookViews>
  <sheets>
    <sheet name="CE_L2 SR1" sheetId="2" r:id="rId1"/>
    <sheet name="CE_L2_SR2" sheetId="4" r:id="rId2"/>
  </sheets>
  <definedNames>
    <definedName name="_xlnm._FilterDatabase" localSheetId="0" hidden="1">'CE_L2 SR1'!$B$19:$B$99</definedName>
    <definedName name="_xlnm.Extract" localSheetId="0">'CE_L2 SR1'!#REF!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2" i="2" l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0" i="4" l="1"/>
  <c r="H50" i="4" s="1"/>
  <c r="G49" i="4"/>
  <c r="H49" i="4" s="1"/>
  <c r="N49" i="4" s="1"/>
  <c r="G48" i="4"/>
  <c r="H48" i="4" s="1"/>
  <c r="G47" i="4"/>
  <c r="H47" i="4" s="1"/>
  <c r="G46" i="4"/>
  <c r="H46" i="4" s="1"/>
  <c r="G45" i="4"/>
  <c r="H45" i="4" s="1"/>
  <c r="G44" i="4"/>
  <c r="H44" i="4" s="1"/>
  <c r="G43" i="4"/>
  <c r="H43" i="4" s="1"/>
  <c r="G42" i="4"/>
  <c r="H42" i="4" s="1"/>
  <c r="G41" i="4"/>
  <c r="H41" i="4" s="1"/>
  <c r="N41" i="4" s="1"/>
  <c r="G40" i="4"/>
  <c r="H40" i="4" s="1"/>
  <c r="G39" i="4"/>
  <c r="H39" i="4" s="1"/>
  <c r="G38" i="4"/>
  <c r="H38" i="4" s="1"/>
  <c r="G37" i="4"/>
  <c r="H37" i="4" s="1"/>
  <c r="G36" i="4"/>
  <c r="H36" i="4" s="1"/>
  <c r="G35" i="4"/>
  <c r="H35" i="4" s="1"/>
  <c r="J35" i="4" s="1"/>
  <c r="G34" i="4"/>
  <c r="H34" i="4" s="1"/>
  <c r="G33" i="4"/>
  <c r="H33" i="4" s="1"/>
  <c r="N33" i="4" s="1"/>
  <c r="G32" i="4"/>
  <c r="H32" i="4" s="1"/>
  <c r="G31" i="4"/>
  <c r="H31" i="4" s="1"/>
  <c r="G30" i="4"/>
  <c r="H30" i="4" s="1"/>
  <c r="G29" i="4"/>
  <c r="H29" i="4" s="1"/>
  <c r="L29" i="4" s="1"/>
  <c r="G28" i="4"/>
  <c r="H28" i="4" s="1"/>
  <c r="G27" i="4"/>
  <c r="H27" i="4" s="1"/>
  <c r="G26" i="4"/>
  <c r="H26" i="4" s="1"/>
  <c r="G25" i="4"/>
  <c r="H25" i="4" s="1"/>
  <c r="N25" i="4" s="1"/>
  <c r="G24" i="4"/>
  <c r="H24" i="4" s="1"/>
  <c r="G23" i="4"/>
  <c r="H23" i="4" s="1"/>
  <c r="Z22" i="4"/>
  <c r="Y22" i="4" s="1"/>
  <c r="G22" i="4"/>
  <c r="H22" i="4" s="1"/>
  <c r="N22" i="4" s="1"/>
  <c r="Z21" i="4"/>
  <c r="Y21" i="4" s="1"/>
  <c r="G21" i="4"/>
  <c r="H21" i="4" s="1"/>
  <c r="Z20" i="4"/>
  <c r="Y20" i="4" s="1"/>
  <c r="G20" i="4"/>
  <c r="H20" i="4" s="1"/>
  <c r="L20" i="4" s="1"/>
  <c r="Z19" i="4"/>
  <c r="Y19" i="4" s="1"/>
  <c r="G19" i="4"/>
  <c r="H19" i="4" s="1"/>
  <c r="Z18" i="4"/>
  <c r="Y18" i="4" s="1"/>
  <c r="G18" i="4"/>
  <c r="H18" i="4" s="1"/>
  <c r="N18" i="4" s="1"/>
  <c r="Z17" i="4"/>
  <c r="Y17" i="4" s="1"/>
  <c r="G17" i="4"/>
  <c r="H17" i="4" s="1"/>
  <c r="J17" i="4" s="1"/>
  <c r="Z16" i="4"/>
  <c r="Y16" i="4" s="1"/>
  <c r="G16" i="4"/>
  <c r="H16" i="4" s="1"/>
  <c r="Z15" i="4"/>
  <c r="Y15" i="4" s="1"/>
  <c r="G15" i="4"/>
  <c r="H15" i="4" s="1"/>
  <c r="Z14" i="4"/>
  <c r="Y14" i="4" s="1"/>
  <c r="G14" i="4"/>
  <c r="H14" i="4" s="1"/>
  <c r="J14" i="4" s="1"/>
  <c r="Z13" i="4"/>
  <c r="Y13" i="4" s="1"/>
  <c r="G13" i="4"/>
  <c r="H13" i="4" s="1"/>
  <c r="Z12" i="4"/>
  <c r="Y12" i="4" s="1"/>
  <c r="G12" i="4"/>
  <c r="H12" i="4" s="1"/>
  <c r="Z11" i="4"/>
  <c r="Y11" i="4" s="1"/>
  <c r="G11" i="4"/>
  <c r="H11" i="4" s="1"/>
  <c r="Z10" i="4"/>
  <c r="Y10" i="4" s="1"/>
  <c r="G10" i="4"/>
  <c r="H10" i="4" s="1"/>
  <c r="N10" i="4" s="1"/>
  <c r="Z9" i="4"/>
  <c r="Y9" i="4" s="1"/>
  <c r="G9" i="4"/>
  <c r="H9" i="4" s="1"/>
  <c r="J9" i="4" s="1"/>
  <c r="G8" i="4"/>
  <c r="H8" i="4" s="1"/>
  <c r="G7" i="4"/>
  <c r="H7" i="4" s="1"/>
  <c r="N7" i="4" s="1"/>
  <c r="G6" i="4"/>
  <c r="H6" i="4" s="1"/>
  <c r="J6" i="4" s="1"/>
  <c r="G5" i="4"/>
  <c r="H5" i="4" s="1"/>
  <c r="N5" i="4" s="1"/>
  <c r="G4" i="4"/>
  <c r="H4" i="4" s="1"/>
  <c r="J4" i="4" s="1"/>
  <c r="G3" i="4"/>
  <c r="H3" i="4" s="1"/>
  <c r="J3" i="4" s="1"/>
  <c r="G2" i="4"/>
  <c r="H2" i="4" s="1"/>
  <c r="J2" i="4" s="1"/>
  <c r="H58" i="2"/>
  <c r="K58" i="2" s="1"/>
  <c r="H57" i="2"/>
  <c r="H56" i="2"/>
  <c r="H55" i="2"/>
  <c r="H54" i="2"/>
  <c r="H53" i="2"/>
  <c r="L53" i="2" s="1"/>
  <c r="H52" i="2"/>
  <c r="H51" i="2"/>
  <c r="H50" i="2"/>
  <c r="M50" i="2" s="1"/>
  <c r="H49" i="2"/>
  <c r="H48" i="2"/>
  <c r="H47" i="2"/>
  <c r="H46" i="2"/>
  <c r="H45" i="2"/>
  <c r="L45" i="2" s="1"/>
  <c r="H44" i="2"/>
  <c r="H43" i="2"/>
  <c r="H42" i="2"/>
  <c r="M42" i="2" s="1"/>
  <c r="H41" i="2"/>
  <c r="H40" i="2"/>
  <c r="H39" i="2"/>
  <c r="H38" i="2"/>
  <c r="H37" i="2"/>
  <c r="L37" i="2" s="1"/>
  <c r="H36" i="2"/>
  <c r="H35" i="2"/>
  <c r="H34" i="2"/>
  <c r="M34" i="2" s="1"/>
  <c r="H33" i="2"/>
  <c r="H32" i="2"/>
  <c r="H31" i="2"/>
  <c r="H30" i="2"/>
  <c r="H29" i="2"/>
  <c r="L29" i="2" s="1"/>
  <c r="H28" i="2"/>
  <c r="H27" i="2"/>
  <c r="H26" i="2"/>
  <c r="H25" i="2"/>
  <c r="H24" i="2"/>
  <c r="H23" i="2"/>
  <c r="Z22" i="2"/>
  <c r="X22" i="2" s="1"/>
  <c r="H22" i="2"/>
  <c r="Z21" i="2"/>
  <c r="Y21" i="2" s="1"/>
  <c r="H21" i="2"/>
  <c r="Z20" i="2"/>
  <c r="Y20" i="2" s="1"/>
  <c r="H20" i="2"/>
  <c r="L20" i="2" s="1"/>
  <c r="Z19" i="2"/>
  <c r="Y19" i="2" s="1"/>
  <c r="H19" i="2"/>
  <c r="Z18" i="2"/>
  <c r="Y18" i="2" s="1"/>
  <c r="H18" i="2"/>
  <c r="Z17" i="2"/>
  <c r="Y17" i="2" s="1"/>
  <c r="H17" i="2"/>
  <c r="Z16" i="2"/>
  <c r="Y16" i="2" s="1"/>
  <c r="H16" i="2"/>
  <c r="L16" i="2" s="1"/>
  <c r="Z15" i="2"/>
  <c r="Y15" i="2" s="1"/>
  <c r="H15" i="2"/>
  <c r="Z14" i="2"/>
  <c r="Y14" i="2" s="1"/>
  <c r="H14" i="2"/>
  <c r="L14" i="2" s="1"/>
  <c r="Z13" i="2"/>
  <c r="Y13" i="2" s="1"/>
  <c r="H13" i="2"/>
  <c r="Z12" i="2"/>
  <c r="Y12" i="2" s="1"/>
  <c r="H12" i="2"/>
  <c r="L12" i="2" s="1"/>
  <c r="Z11" i="2"/>
  <c r="Y11" i="2" s="1"/>
  <c r="H11" i="2"/>
  <c r="Z10" i="2"/>
  <c r="Y10" i="2" s="1"/>
  <c r="H10" i="2"/>
  <c r="Z9" i="2"/>
  <c r="Y9" i="2" s="1"/>
  <c r="H9" i="2"/>
  <c r="H8" i="2"/>
  <c r="H7" i="2"/>
  <c r="H6" i="2"/>
  <c r="L6" i="2" s="1"/>
  <c r="H5" i="2"/>
  <c r="H4" i="2"/>
  <c r="L4" i="2" s="1"/>
  <c r="H3" i="2"/>
  <c r="H2" i="2"/>
  <c r="L12" i="4" l="1"/>
  <c r="N12" i="4"/>
  <c r="N20" i="4"/>
  <c r="X20" i="4"/>
  <c r="X16" i="4"/>
  <c r="X15" i="4"/>
  <c r="X12" i="4"/>
  <c r="J21" i="4"/>
  <c r="M21" i="4"/>
  <c r="L21" i="4"/>
  <c r="K21" i="4"/>
  <c r="J27" i="4"/>
  <c r="K27" i="4"/>
  <c r="M27" i="4"/>
  <c r="L27" i="4"/>
  <c r="L16" i="4"/>
  <c r="N16" i="4"/>
  <c r="M16" i="4"/>
  <c r="K16" i="4"/>
  <c r="J13" i="4"/>
  <c r="M13" i="4"/>
  <c r="L13" i="4"/>
  <c r="K13" i="4"/>
  <c r="J43" i="4"/>
  <c r="M43" i="4"/>
  <c r="L43" i="4"/>
  <c r="K43" i="4"/>
  <c r="L37" i="4"/>
  <c r="N37" i="4"/>
  <c r="M37" i="4"/>
  <c r="K37" i="4"/>
  <c r="L45" i="4"/>
  <c r="N45" i="4"/>
  <c r="M45" i="4"/>
  <c r="K45" i="4"/>
  <c r="K2" i="4"/>
  <c r="K9" i="4"/>
  <c r="X11" i="4"/>
  <c r="K17" i="4"/>
  <c r="X19" i="4"/>
  <c r="K29" i="4"/>
  <c r="L2" i="4"/>
  <c r="L9" i="4"/>
  <c r="L17" i="4"/>
  <c r="M29" i="4"/>
  <c r="M9" i="4"/>
  <c r="M17" i="4"/>
  <c r="N29" i="4"/>
  <c r="K35" i="4"/>
  <c r="M2" i="4"/>
  <c r="L35" i="4"/>
  <c r="K12" i="4"/>
  <c r="K20" i="4"/>
  <c r="M35" i="4"/>
  <c r="M12" i="4"/>
  <c r="M20" i="4"/>
  <c r="N23" i="4"/>
  <c r="M23" i="4"/>
  <c r="L23" i="4"/>
  <c r="K23" i="4"/>
  <c r="J23" i="4"/>
  <c r="N31" i="4"/>
  <c r="M31" i="4"/>
  <c r="L31" i="4"/>
  <c r="K31" i="4"/>
  <c r="J31" i="4"/>
  <c r="K8" i="4"/>
  <c r="J8" i="4"/>
  <c r="N8" i="4"/>
  <c r="L8" i="4"/>
  <c r="M8" i="4"/>
  <c r="K28" i="4"/>
  <c r="J28" i="4"/>
  <c r="L28" i="4"/>
  <c r="N28" i="4"/>
  <c r="M28" i="4"/>
  <c r="N32" i="4"/>
  <c r="M32" i="4"/>
  <c r="L32" i="4"/>
  <c r="K32" i="4"/>
  <c r="J32" i="4"/>
  <c r="N39" i="4"/>
  <c r="M39" i="4"/>
  <c r="L39" i="4"/>
  <c r="K39" i="4"/>
  <c r="J39" i="4"/>
  <c r="M46" i="4"/>
  <c r="L46" i="4"/>
  <c r="N46" i="4"/>
  <c r="K46" i="4"/>
  <c r="J46" i="4"/>
  <c r="N15" i="4"/>
  <c r="M15" i="4"/>
  <c r="L15" i="4"/>
  <c r="K15" i="4"/>
  <c r="J15" i="4"/>
  <c r="M30" i="4"/>
  <c r="L30" i="4"/>
  <c r="N30" i="4"/>
  <c r="K30" i="4"/>
  <c r="J30" i="4"/>
  <c r="K36" i="4"/>
  <c r="J36" i="4"/>
  <c r="L36" i="4"/>
  <c r="N36" i="4"/>
  <c r="M36" i="4"/>
  <c r="N40" i="4"/>
  <c r="M40" i="4"/>
  <c r="L40" i="4"/>
  <c r="K40" i="4"/>
  <c r="J40" i="4"/>
  <c r="N47" i="4"/>
  <c r="M47" i="4"/>
  <c r="L47" i="4"/>
  <c r="K47" i="4"/>
  <c r="J47" i="4"/>
  <c r="M38" i="4"/>
  <c r="N38" i="4"/>
  <c r="L38" i="4"/>
  <c r="K38" i="4"/>
  <c r="J38" i="4"/>
  <c r="N11" i="4"/>
  <c r="M11" i="4"/>
  <c r="L11" i="4"/>
  <c r="K11" i="4"/>
  <c r="J11" i="4"/>
  <c r="N19" i="4"/>
  <c r="M19" i="4"/>
  <c r="L19" i="4"/>
  <c r="K19" i="4"/>
  <c r="J19" i="4"/>
  <c r="K26" i="4"/>
  <c r="L26" i="4"/>
  <c r="N26" i="4"/>
  <c r="J26" i="4"/>
  <c r="M26" i="4"/>
  <c r="K44" i="4"/>
  <c r="J44" i="4"/>
  <c r="L44" i="4"/>
  <c r="N44" i="4"/>
  <c r="M44" i="4"/>
  <c r="N48" i="4"/>
  <c r="M48" i="4"/>
  <c r="L48" i="4"/>
  <c r="K48" i="4"/>
  <c r="J48" i="4"/>
  <c r="N24" i="4"/>
  <c r="M24" i="4"/>
  <c r="L24" i="4"/>
  <c r="K24" i="4"/>
  <c r="J24" i="4"/>
  <c r="J34" i="4"/>
  <c r="L34" i="4"/>
  <c r="N34" i="4"/>
  <c r="M34" i="4"/>
  <c r="K34" i="4"/>
  <c r="J50" i="4"/>
  <c r="N50" i="4"/>
  <c r="M50" i="4"/>
  <c r="L50" i="4"/>
  <c r="K50" i="4"/>
  <c r="N42" i="4"/>
  <c r="J42" i="4"/>
  <c r="M42" i="4"/>
  <c r="L42" i="4"/>
  <c r="K42" i="4"/>
  <c r="J33" i="4"/>
  <c r="J41" i="4"/>
  <c r="J49" i="4"/>
  <c r="J7" i="4"/>
  <c r="J22" i="4"/>
  <c r="J25" i="4"/>
  <c r="K4" i="4"/>
  <c r="K6" i="4"/>
  <c r="K10" i="4"/>
  <c r="K22" i="4"/>
  <c r="K25" i="4"/>
  <c r="K33" i="4"/>
  <c r="K41" i="4"/>
  <c r="K49" i="4"/>
  <c r="N2" i="4"/>
  <c r="L3" i="4"/>
  <c r="L4" i="4"/>
  <c r="L5" i="4"/>
  <c r="L6" i="4"/>
  <c r="L7" i="4"/>
  <c r="N9" i="4"/>
  <c r="L10" i="4"/>
  <c r="N13" i="4"/>
  <c r="L14" i="4"/>
  <c r="N17" i="4"/>
  <c r="L18" i="4"/>
  <c r="N21" i="4"/>
  <c r="L22" i="4"/>
  <c r="L25" i="4"/>
  <c r="N27" i="4"/>
  <c r="L33" i="4"/>
  <c r="N35" i="4"/>
  <c r="L41" i="4"/>
  <c r="N43" i="4"/>
  <c r="L49" i="4"/>
  <c r="J10" i="4"/>
  <c r="J18" i="4"/>
  <c r="K3" i="4"/>
  <c r="K5" i="4"/>
  <c r="K14" i="4"/>
  <c r="K18" i="4"/>
  <c r="M4" i="4"/>
  <c r="M6" i="4"/>
  <c r="M7" i="4"/>
  <c r="X9" i="4"/>
  <c r="M10" i="4"/>
  <c r="X13" i="4"/>
  <c r="M14" i="4"/>
  <c r="X17" i="4"/>
  <c r="M18" i="4"/>
  <c r="X21" i="4"/>
  <c r="M22" i="4"/>
  <c r="M25" i="4"/>
  <c r="M33" i="4"/>
  <c r="M41" i="4"/>
  <c r="M49" i="4"/>
  <c r="J5" i="4"/>
  <c r="K7" i="4"/>
  <c r="M3" i="4"/>
  <c r="M5" i="4"/>
  <c r="N3" i="4"/>
  <c r="N4" i="4"/>
  <c r="N6" i="4"/>
  <c r="J12" i="4"/>
  <c r="N14" i="4"/>
  <c r="J16" i="4"/>
  <c r="J20" i="4"/>
  <c r="J29" i="4"/>
  <c r="J37" i="4"/>
  <c r="J45" i="4"/>
  <c r="X14" i="4"/>
  <c r="X18" i="4"/>
  <c r="X22" i="4"/>
  <c r="X10" i="4"/>
  <c r="N39" i="2"/>
  <c r="L39" i="2"/>
  <c r="N55" i="2"/>
  <c r="L55" i="2"/>
  <c r="N48" i="2"/>
  <c r="M48" i="2"/>
  <c r="L48" i="2"/>
  <c r="N32" i="2"/>
  <c r="M32" i="2"/>
  <c r="L32" i="2"/>
  <c r="N11" i="2"/>
  <c r="L11" i="2"/>
  <c r="N6" i="2"/>
  <c r="L34" i="2"/>
  <c r="L50" i="2"/>
  <c r="N19" i="2"/>
  <c r="L19" i="2"/>
  <c r="K19" i="2"/>
  <c r="N40" i="2"/>
  <c r="M40" i="2"/>
  <c r="L40" i="2"/>
  <c r="J40" i="2"/>
  <c r="N47" i="2"/>
  <c r="L47" i="2"/>
  <c r="K47" i="2"/>
  <c r="N56" i="2"/>
  <c r="M56" i="2"/>
  <c r="L56" i="2"/>
  <c r="J56" i="2"/>
  <c r="K24" i="2"/>
  <c r="N24" i="2"/>
  <c r="M24" i="2"/>
  <c r="L24" i="2"/>
  <c r="J24" i="2"/>
  <c r="N15" i="2"/>
  <c r="L15" i="2"/>
  <c r="K15" i="2"/>
  <c r="L7" i="2"/>
  <c r="N7" i="2"/>
  <c r="M7" i="2"/>
  <c r="L3" i="2"/>
  <c r="N3" i="2"/>
  <c r="M3" i="2"/>
  <c r="N23" i="2"/>
  <c r="L23" i="2"/>
  <c r="K23" i="2"/>
  <c r="L10" i="2"/>
  <c r="N10" i="2"/>
  <c r="M10" i="2"/>
  <c r="L18" i="2"/>
  <c r="M18" i="2"/>
  <c r="K18" i="2"/>
  <c r="N18" i="2"/>
  <c r="N31" i="2"/>
  <c r="L31" i="2"/>
  <c r="K31" i="2"/>
  <c r="L5" i="2"/>
  <c r="N5" i="2"/>
  <c r="M5" i="2"/>
  <c r="M4" i="2"/>
  <c r="M6" i="2"/>
  <c r="K11" i="2"/>
  <c r="J32" i="2"/>
  <c r="N34" i="2"/>
  <c r="K39" i="2"/>
  <c r="J48" i="2"/>
  <c r="N50" i="2"/>
  <c r="K55" i="2"/>
  <c r="N4" i="2"/>
  <c r="L58" i="2"/>
  <c r="K42" i="2"/>
  <c r="N14" i="2"/>
  <c r="L42" i="2"/>
  <c r="M58" i="2"/>
  <c r="N42" i="2"/>
  <c r="N58" i="2"/>
  <c r="M14" i="2"/>
  <c r="K34" i="2"/>
  <c r="K50" i="2"/>
  <c r="Y22" i="2"/>
  <c r="X21" i="2"/>
  <c r="X17" i="2"/>
  <c r="X13" i="2"/>
  <c r="X11" i="2"/>
  <c r="X9" i="2"/>
  <c r="N41" i="2"/>
  <c r="L41" i="2"/>
  <c r="K41" i="2"/>
  <c r="J41" i="2"/>
  <c r="M41" i="2"/>
  <c r="N57" i="2"/>
  <c r="L57" i="2"/>
  <c r="K57" i="2"/>
  <c r="J57" i="2"/>
  <c r="M57" i="2"/>
  <c r="J17" i="2"/>
  <c r="N17" i="2"/>
  <c r="M17" i="2"/>
  <c r="L17" i="2"/>
  <c r="K17" i="2"/>
  <c r="J21" i="2"/>
  <c r="N21" i="2"/>
  <c r="M21" i="2"/>
  <c r="L21" i="2"/>
  <c r="K21" i="2"/>
  <c r="M30" i="2"/>
  <c r="K30" i="2"/>
  <c r="L30" i="2"/>
  <c r="J30" i="2"/>
  <c r="N30" i="2"/>
  <c r="J35" i="2"/>
  <c r="N35" i="2"/>
  <c r="M35" i="2"/>
  <c r="L35" i="2"/>
  <c r="K35" i="2"/>
  <c r="M46" i="2"/>
  <c r="K46" i="2"/>
  <c r="L46" i="2"/>
  <c r="J46" i="2"/>
  <c r="N46" i="2"/>
  <c r="J51" i="2"/>
  <c r="N51" i="2"/>
  <c r="M51" i="2"/>
  <c r="L51" i="2"/>
  <c r="K51" i="2"/>
  <c r="K36" i="2"/>
  <c r="J36" i="2"/>
  <c r="N36" i="2"/>
  <c r="M36" i="2"/>
  <c r="L36" i="2"/>
  <c r="K52" i="2"/>
  <c r="J52" i="2"/>
  <c r="N52" i="2"/>
  <c r="M52" i="2"/>
  <c r="L52" i="2"/>
  <c r="N8" i="2"/>
  <c r="M8" i="2"/>
  <c r="L8" i="2"/>
  <c r="K8" i="2"/>
  <c r="J8" i="2"/>
  <c r="N49" i="2"/>
  <c r="L49" i="2"/>
  <c r="K49" i="2"/>
  <c r="M49" i="2"/>
  <c r="J49" i="2"/>
  <c r="L25" i="2"/>
  <c r="K25" i="2"/>
  <c r="J25" i="2"/>
  <c r="N25" i="2"/>
  <c r="M25" i="2"/>
  <c r="N33" i="2"/>
  <c r="L33" i="2"/>
  <c r="K33" i="2"/>
  <c r="M33" i="2"/>
  <c r="J33" i="2"/>
  <c r="J9" i="2"/>
  <c r="N9" i="2"/>
  <c r="M9" i="2"/>
  <c r="L9" i="2"/>
  <c r="K9" i="2"/>
  <c r="M26" i="2"/>
  <c r="N26" i="2"/>
  <c r="L26" i="2"/>
  <c r="K26" i="2"/>
  <c r="J26" i="2"/>
  <c r="M22" i="2"/>
  <c r="L22" i="2"/>
  <c r="K22" i="2"/>
  <c r="J22" i="2"/>
  <c r="N22" i="2"/>
  <c r="J27" i="2"/>
  <c r="N27" i="2"/>
  <c r="M27" i="2"/>
  <c r="L27" i="2"/>
  <c r="K27" i="2"/>
  <c r="M38" i="2"/>
  <c r="L38" i="2"/>
  <c r="J38" i="2"/>
  <c r="K38" i="2"/>
  <c r="N38" i="2"/>
  <c r="J43" i="2"/>
  <c r="N43" i="2"/>
  <c r="M43" i="2"/>
  <c r="L43" i="2"/>
  <c r="K43" i="2"/>
  <c r="M54" i="2"/>
  <c r="J54" i="2"/>
  <c r="L54" i="2"/>
  <c r="K54" i="2"/>
  <c r="N54" i="2"/>
  <c r="J2" i="2"/>
  <c r="N2" i="2"/>
  <c r="M2" i="2"/>
  <c r="L2" i="2"/>
  <c r="K2" i="2"/>
  <c r="J13" i="2"/>
  <c r="N13" i="2"/>
  <c r="M13" i="2"/>
  <c r="L13" i="2"/>
  <c r="K13" i="2"/>
  <c r="K28" i="2"/>
  <c r="J28" i="2"/>
  <c r="N28" i="2"/>
  <c r="M28" i="2"/>
  <c r="L28" i="2"/>
  <c r="K44" i="2"/>
  <c r="J44" i="2"/>
  <c r="N44" i="2"/>
  <c r="M44" i="2"/>
  <c r="L44" i="2"/>
  <c r="M12" i="2"/>
  <c r="X15" i="2"/>
  <c r="M16" i="2"/>
  <c r="X19" i="2"/>
  <c r="M20" i="2"/>
  <c r="M29" i="2"/>
  <c r="J34" i="2"/>
  <c r="M37" i="2"/>
  <c r="J42" i="2"/>
  <c r="M45" i="2"/>
  <c r="J50" i="2"/>
  <c r="M53" i="2"/>
  <c r="J58" i="2"/>
  <c r="J3" i="2"/>
  <c r="J4" i="2"/>
  <c r="J5" i="2"/>
  <c r="J6" i="2"/>
  <c r="J7" i="2"/>
  <c r="J10" i="2"/>
  <c r="N12" i="2"/>
  <c r="J14" i="2"/>
  <c r="N16" i="2"/>
  <c r="J18" i="2"/>
  <c r="N20" i="2"/>
  <c r="N29" i="2"/>
  <c r="N37" i="2"/>
  <c r="N45" i="2"/>
  <c r="N53" i="2"/>
  <c r="J12" i="2"/>
  <c r="J20" i="2"/>
  <c r="K4" i="2"/>
  <c r="K5" i="2"/>
  <c r="K6" i="2"/>
  <c r="K7" i="2"/>
  <c r="K10" i="2"/>
  <c r="X12" i="2"/>
  <c r="K14" i="2"/>
  <c r="X16" i="2"/>
  <c r="X20" i="2"/>
  <c r="K3" i="2"/>
  <c r="J11" i="2"/>
  <c r="J15" i="2"/>
  <c r="J19" i="2"/>
  <c r="J23" i="2"/>
  <c r="J31" i="2"/>
  <c r="K32" i="2"/>
  <c r="J39" i="2"/>
  <c r="K40" i="2"/>
  <c r="J47" i="2"/>
  <c r="K48" i="2"/>
  <c r="J55" i="2"/>
  <c r="K56" i="2"/>
  <c r="J45" i="2"/>
  <c r="J53" i="2"/>
  <c r="K29" i="2"/>
  <c r="M31" i="2"/>
  <c r="K37" i="2"/>
  <c r="M39" i="2"/>
  <c r="K45" i="2"/>
  <c r="M47" i="2"/>
  <c r="K53" i="2"/>
  <c r="M55" i="2"/>
  <c r="J16" i="2"/>
  <c r="J29" i="2"/>
  <c r="J37" i="2"/>
  <c r="X10" i="2"/>
  <c r="M11" i="2"/>
  <c r="K12" i="2"/>
  <c r="X14" i="2"/>
  <c r="M15" i="2"/>
  <c r="K16" i="2"/>
  <c r="X18" i="2"/>
  <c r="M19" i="2"/>
  <c r="K20" i="2"/>
  <c r="M23" i="2"/>
  <c r="K52" i="4" l="1"/>
  <c r="U3" i="4" s="1"/>
  <c r="L52" i="4"/>
  <c r="U4" i="4" s="1"/>
  <c r="M52" i="4"/>
  <c r="U5" i="4" s="1"/>
  <c r="J52" i="4"/>
  <c r="U2" i="4" s="1"/>
  <c r="N52" i="4"/>
  <c r="U6" i="4" s="1"/>
  <c r="N60" i="2"/>
  <c r="U6" i="2" s="1"/>
  <c r="J60" i="2"/>
  <c r="U2" i="2" s="1"/>
  <c r="K60" i="2"/>
  <c r="U3" i="2" s="1"/>
  <c r="L60" i="2"/>
  <c r="U4" i="2" s="1"/>
  <c r="M60" i="2"/>
  <c r="U5" i="2" s="1"/>
  <c r="W2" i="4" l="1"/>
  <c r="X2" i="4"/>
  <c r="W2" i="2"/>
  <c r="X2" i="2"/>
</calcChain>
</file>

<file path=xl/sharedStrings.xml><?xml version="1.0" encoding="utf-8"?>
<sst xmlns="http://schemas.openxmlformats.org/spreadsheetml/2006/main" count="379" uniqueCount="29">
  <si>
    <t>shelf</t>
  </si>
  <si>
    <t>toilet</t>
  </si>
  <si>
    <t>sink</t>
  </si>
  <si>
    <t>chair</t>
  </si>
  <si>
    <t>sofa</t>
  </si>
  <si>
    <t>bed</t>
  </si>
  <si>
    <t>display</t>
  </si>
  <si>
    <t>door</t>
  </si>
  <si>
    <t>desk+table</t>
  </si>
  <si>
    <t>Class</t>
  </si>
  <si>
    <t>Prediction</t>
  </si>
  <si>
    <t>Avg_Conf</t>
  </si>
  <si>
    <t>Pred_Tot</t>
  </si>
  <si>
    <t>Class_Tot</t>
  </si>
  <si>
    <t>_pillow</t>
  </si>
  <si>
    <t>_cabinet</t>
  </si>
  <si>
    <t>_box</t>
  </si>
  <si>
    <t>_bin</t>
  </si>
  <si>
    <t>_bag</t>
  </si>
  <si>
    <t>ID</t>
  </si>
  <si>
    <t>OOD</t>
  </si>
  <si>
    <t>THRESH</t>
  </si>
  <si>
    <t>CASI</t>
  </si>
  <si>
    <t>PRED</t>
  </si>
  <si>
    <t>ID, MISCL</t>
  </si>
  <si>
    <t>ID, CLASS</t>
  </si>
  <si>
    <t>TOT GOOD</t>
  </si>
  <si>
    <t>TOT BAD</t>
  </si>
  <si>
    <t>TO RUN CHANGE TRESHOLD AND CLICK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</si>
</sst>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4">
    <xf numFmtId="0" fontId="0" fillId="0" borderId="0" xfId="0"/>
    <xf numFmtId="0" fontId="1" fillId="2" borderId="0" xfId="1"/>
    <xf numFmtId="0" fontId="2" fillId="3" borderId="0" xfId="2"/>
    <xf numFmtId="0" fontId="0" fillId="4" borderId="0" xfId="0" applyFill="1" applyAlignment="1">
      <alignment horizontal="center" wrapText="1"/>
    </xf>
  </cellXfs>
  <cellStyles count="3">
    <cellStyle name="Bad" xfId="2" builtinId="27"/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1019175</xdr:colOff>
          <xdr:row>1</xdr:row>
          <xdr:rowOff>171450</xdr:rowOff>
        </xdr:from>
        <xdr:to>
          <xdr:col>14</xdr:col>
          <xdr:colOff>1543050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1076325</xdr:colOff>
          <xdr:row>1</xdr:row>
          <xdr:rowOff>66675</xdr:rowOff>
        </xdr:from>
        <xdr:to>
          <xdr:col>14</xdr:col>
          <xdr:colOff>1600200</xdr:colOff>
          <xdr:row>2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8D4AE2DF-8206-041E-C85D-7BF47FFE68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9B832-8A2C-4E14-9C4F-1D22DA957BA7}">
  <sheetPr codeName="Sheet2"/>
  <dimension ref="A1:Z60"/>
  <sheetViews>
    <sheetView workbookViewId="0">
      <selection activeCell="O8" sqref="O8"/>
    </sheetView>
  </sheetViews>
  <sheetFormatPr defaultRowHeight="15" x14ac:dyDescent="0.25"/>
  <cols>
    <col min="2" max="2" width="10.5703125" bestFit="1" customWidth="1"/>
    <col min="3" max="3" width="10" bestFit="1" customWidth="1"/>
    <col min="4" max="4" width="12" bestFit="1" customWidth="1"/>
    <col min="5" max="5" width="8.5703125" bestFit="1" customWidth="1"/>
    <col min="6" max="6" width="9.7109375" bestFit="1" customWidth="1"/>
    <col min="8" max="14" width="0" hidden="1" customWidth="1"/>
    <col min="15" max="15" width="35.28515625" bestFit="1" customWidth="1"/>
    <col min="17" max="17" width="10.5703125" bestFit="1" customWidth="1"/>
    <col min="20" max="20" width="9.7109375" bestFit="1" customWidth="1"/>
    <col min="24" max="24" width="10.42578125" bestFit="1" customWidth="1"/>
  </cols>
  <sheetData>
    <row r="1" spans="1:26" ht="15" customHeight="1" x14ac:dyDescent="0.25">
      <c r="A1" t="s">
        <v>19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J1">
        <v>1</v>
      </c>
      <c r="K1">
        <v>2</v>
      </c>
      <c r="L1">
        <v>3</v>
      </c>
      <c r="M1">
        <v>4</v>
      </c>
      <c r="N1">
        <v>5</v>
      </c>
      <c r="O1" s="3" t="s">
        <v>28</v>
      </c>
      <c r="P1" t="s">
        <v>21</v>
      </c>
      <c r="R1" t="s">
        <v>22</v>
      </c>
      <c r="S1" t="b">
        <v>1</v>
      </c>
      <c r="T1" t="s">
        <v>23</v>
      </c>
      <c r="W1" t="s">
        <v>26</v>
      </c>
      <c r="X1" t="s">
        <v>27</v>
      </c>
    </row>
    <row r="2" spans="1:26" x14ac:dyDescent="0.25">
      <c r="A2" t="s">
        <v>19</v>
      </c>
      <c r="B2" t="s">
        <v>3</v>
      </c>
      <c r="C2" t="s">
        <v>3</v>
      </c>
      <c r="D2">
        <v>1.61618974493143E-3</v>
      </c>
      <c r="E2">
        <v>360</v>
      </c>
      <c r="F2">
        <v>395</v>
      </c>
      <c r="G2" t="str">
        <f t="shared" ref="G2:G33" si="0">IF(D2&gt;=$P$2,"ID","OOD")</f>
        <v>ID</v>
      </c>
      <c r="H2">
        <f t="shared" ref="H2:H33" si="1">IF(AND(A2="OOD",G2="OOD"),1,IF(AND(A2="OOD",G2="ID"),2,IF(AND(A2="ID",G2="OOD"),3,IF(AND(A2="ID",G2="ID",B2&lt;&gt;C2),4,IF(AND(A2="ID",G2="ID",B2=C2),5,"!!!")))))</f>
        <v>5</v>
      </c>
      <c r="I2">
        <v>1</v>
      </c>
      <c r="J2">
        <f t="shared" ref="J2:J33" si="2">IF($H2=$J$1,$E2,0)</f>
        <v>0</v>
      </c>
      <c r="K2">
        <f t="shared" ref="K2:K33" si="3">IF($H2=$K$1,$E2,0)</f>
        <v>0</v>
      </c>
      <c r="L2">
        <f t="shared" ref="L2:L33" si="4">IF($H2=$L$1,$E2,0)</f>
        <v>0</v>
      </c>
      <c r="M2">
        <f t="shared" ref="M2:M33" si="5">IF($H2=$M$1,$E2,0)</f>
        <v>0</v>
      </c>
      <c r="N2">
        <f t="shared" ref="N2:N33" si="6">IF($H2=$N$1,$E2,0)</f>
        <v>360</v>
      </c>
      <c r="P2">
        <v>1.5E-3</v>
      </c>
      <c r="R2">
        <v>1</v>
      </c>
      <c r="S2" t="s">
        <v>20</v>
      </c>
      <c r="T2" t="s">
        <v>20</v>
      </c>
      <c r="U2" s="1">
        <f>J60</f>
        <v>1635</v>
      </c>
      <c r="W2">
        <f>SUM(U2,U6)</f>
        <v>2250</v>
      </c>
      <c r="X2">
        <f>SUM(U3:U5)</f>
        <v>640</v>
      </c>
    </row>
    <row r="3" spans="1:26" x14ac:dyDescent="0.25">
      <c r="A3" t="s">
        <v>19</v>
      </c>
      <c r="B3" t="s">
        <v>3</v>
      </c>
      <c r="C3" t="s">
        <v>0</v>
      </c>
      <c r="D3">
        <v>1.4417858677916199E-3</v>
      </c>
      <c r="E3">
        <v>30</v>
      </c>
      <c r="F3">
        <v>395</v>
      </c>
      <c r="G3" t="str">
        <f t="shared" si="0"/>
        <v>OOD</v>
      </c>
      <c r="H3">
        <f t="shared" si="1"/>
        <v>3</v>
      </c>
      <c r="J3">
        <f t="shared" si="2"/>
        <v>0</v>
      </c>
      <c r="K3">
        <f t="shared" si="3"/>
        <v>0</v>
      </c>
      <c r="L3">
        <f t="shared" si="4"/>
        <v>30</v>
      </c>
      <c r="M3">
        <f t="shared" si="5"/>
        <v>0</v>
      </c>
      <c r="N3">
        <f t="shared" si="6"/>
        <v>0</v>
      </c>
      <c r="R3">
        <v>2</v>
      </c>
      <c r="S3" t="s">
        <v>20</v>
      </c>
      <c r="T3" t="s">
        <v>19</v>
      </c>
      <c r="U3" s="2">
        <f>K60</f>
        <v>0</v>
      </c>
    </row>
    <row r="4" spans="1:26" x14ac:dyDescent="0.25">
      <c r="A4" t="s">
        <v>19</v>
      </c>
      <c r="B4" t="s">
        <v>3</v>
      </c>
      <c r="C4" t="s">
        <v>4</v>
      </c>
      <c r="D4">
        <v>1.34027158492244E-3</v>
      </c>
      <c r="E4">
        <v>4</v>
      </c>
      <c r="F4">
        <v>395</v>
      </c>
      <c r="G4" t="str">
        <f t="shared" si="0"/>
        <v>OOD</v>
      </c>
      <c r="H4">
        <f t="shared" si="1"/>
        <v>3</v>
      </c>
      <c r="J4">
        <f t="shared" si="2"/>
        <v>0</v>
      </c>
      <c r="K4">
        <f t="shared" si="3"/>
        <v>0</v>
      </c>
      <c r="L4">
        <f t="shared" si="4"/>
        <v>4</v>
      </c>
      <c r="M4">
        <f t="shared" si="5"/>
        <v>0</v>
      </c>
      <c r="N4">
        <f t="shared" si="6"/>
        <v>0</v>
      </c>
      <c r="R4">
        <v>3</v>
      </c>
      <c r="S4" t="s">
        <v>19</v>
      </c>
      <c r="T4" t="s">
        <v>20</v>
      </c>
      <c r="U4" s="2">
        <f>L60</f>
        <v>640</v>
      </c>
    </row>
    <row r="5" spans="1:26" x14ac:dyDescent="0.25">
      <c r="A5" t="s">
        <v>19</v>
      </c>
      <c r="B5" t="s">
        <v>3</v>
      </c>
      <c r="C5" t="s">
        <v>7</v>
      </c>
      <c r="D5">
        <v>1.39510980807244E-3</v>
      </c>
      <c r="E5">
        <v>1</v>
      </c>
      <c r="F5">
        <v>395</v>
      </c>
      <c r="G5" t="str">
        <f t="shared" si="0"/>
        <v>OOD</v>
      </c>
      <c r="H5">
        <f t="shared" si="1"/>
        <v>3</v>
      </c>
      <c r="J5">
        <f t="shared" si="2"/>
        <v>0</v>
      </c>
      <c r="K5">
        <f t="shared" si="3"/>
        <v>0</v>
      </c>
      <c r="L5">
        <f t="shared" si="4"/>
        <v>1</v>
      </c>
      <c r="M5">
        <f t="shared" si="5"/>
        <v>0</v>
      </c>
      <c r="N5">
        <f t="shared" si="6"/>
        <v>0</v>
      </c>
      <c r="R5">
        <v>4</v>
      </c>
      <c r="S5" t="s">
        <v>19</v>
      </c>
      <c r="T5" t="s">
        <v>24</v>
      </c>
      <c r="U5" s="2">
        <f>M60</f>
        <v>0</v>
      </c>
    </row>
    <row r="6" spans="1:26" x14ac:dyDescent="0.25">
      <c r="A6" t="s">
        <v>19</v>
      </c>
      <c r="B6" t="s">
        <v>7</v>
      </c>
      <c r="C6" t="s">
        <v>7</v>
      </c>
      <c r="D6">
        <v>1.43672407375142E-3</v>
      </c>
      <c r="E6">
        <v>217</v>
      </c>
      <c r="F6">
        <v>221</v>
      </c>
      <c r="G6" t="str">
        <f t="shared" si="0"/>
        <v>OOD</v>
      </c>
      <c r="H6">
        <f t="shared" si="1"/>
        <v>3</v>
      </c>
      <c r="J6">
        <f t="shared" si="2"/>
        <v>0</v>
      </c>
      <c r="K6">
        <f t="shared" si="3"/>
        <v>0</v>
      </c>
      <c r="L6">
        <f t="shared" si="4"/>
        <v>217</v>
      </c>
      <c r="M6">
        <f t="shared" si="5"/>
        <v>0</v>
      </c>
      <c r="N6">
        <f t="shared" si="6"/>
        <v>0</v>
      </c>
      <c r="R6">
        <v>5</v>
      </c>
      <c r="S6" t="s">
        <v>19</v>
      </c>
      <c r="T6" t="s">
        <v>25</v>
      </c>
      <c r="U6" s="1">
        <f>N60</f>
        <v>615</v>
      </c>
    </row>
    <row r="7" spans="1:26" x14ac:dyDescent="0.25">
      <c r="A7" t="s">
        <v>19</v>
      </c>
      <c r="B7" t="s">
        <v>7</v>
      </c>
      <c r="C7" t="s">
        <v>0</v>
      </c>
      <c r="D7">
        <v>1.4045909920241599E-3</v>
      </c>
      <c r="E7">
        <v>4</v>
      </c>
      <c r="F7">
        <v>221</v>
      </c>
      <c r="G7" t="str">
        <f t="shared" si="0"/>
        <v>OOD</v>
      </c>
      <c r="H7">
        <f t="shared" si="1"/>
        <v>3</v>
      </c>
      <c r="J7">
        <f t="shared" si="2"/>
        <v>0</v>
      </c>
      <c r="K7">
        <f t="shared" si="3"/>
        <v>0</v>
      </c>
      <c r="L7">
        <f t="shared" si="4"/>
        <v>4</v>
      </c>
      <c r="M7">
        <f t="shared" si="5"/>
        <v>0</v>
      </c>
      <c r="N7">
        <f t="shared" si="6"/>
        <v>0</v>
      </c>
    </row>
    <row r="8" spans="1:26" x14ac:dyDescent="0.25">
      <c r="A8" t="s">
        <v>19</v>
      </c>
      <c r="B8" t="s">
        <v>0</v>
      </c>
      <c r="C8" t="s">
        <v>0</v>
      </c>
      <c r="D8">
        <v>1.5246674633018801E-3</v>
      </c>
      <c r="E8">
        <v>255</v>
      </c>
      <c r="F8">
        <v>267</v>
      </c>
      <c r="G8" t="str">
        <f t="shared" si="0"/>
        <v>ID</v>
      </c>
      <c r="H8">
        <f t="shared" si="1"/>
        <v>5</v>
      </c>
      <c r="J8">
        <f t="shared" si="2"/>
        <v>0</v>
      </c>
      <c r="K8">
        <f t="shared" si="3"/>
        <v>0</v>
      </c>
      <c r="L8">
        <f t="shared" si="4"/>
        <v>0</v>
      </c>
      <c r="M8">
        <f t="shared" si="5"/>
        <v>0</v>
      </c>
      <c r="N8">
        <f t="shared" si="6"/>
        <v>255</v>
      </c>
      <c r="R8">
        <v>1</v>
      </c>
      <c r="S8">
        <v>2</v>
      </c>
      <c r="T8">
        <v>3</v>
      </c>
      <c r="U8">
        <v>4</v>
      </c>
      <c r="V8">
        <v>5</v>
      </c>
      <c r="X8" t="s">
        <v>26</v>
      </c>
      <c r="Y8" t="s">
        <v>27</v>
      </c>
    </row>
    <row r="9" spans="1:26" x14ac:dyDescent="0.25">
      <c r="A9" t="s">
        <v>19</v>
      </c>
      <c r="B9" t="s">
        <v>0</v>
      </c>
      <c r="C9" t="s">
        <v>7</v>
      </c>
      <c r="D9">
        <v>1.37000720133073E-3</v>
      </c>
      <c r="E9">
        <v>4</v>
      </c>
      <c r="F9">
        <v>267</v>
      </c>
      <c r="G9" t="str">
        <f t="shared" si="0"/>
        <v>OOD</v>
      </c>
      <c r="H9">
        <f t="shared" si="1"/>
        <v>3</v>
      </c>
      <c r="J9">
        <f t="shared" si="2"/>
        <v>0</v>
      </c>
      <c r="K9">
        <f t="shared" si="3"/>
        <v>0</v>
      </c>
      <c r="L9">
        <f t="shared" si="4"/>
        <v>4</v>
      </c>
      <c r="M9">
        <f t="shared" si="5"/>
        <v>0</v>
      </c>
      <c r="N9">
        <f t="shared" si="6"/>
        <v>0</v>
      </c>
      <c r="Q9" t="s">
        <v>3</v>
      </c>
      <c r="R9">
        <v>0</v>
      </c>
      <c r="S9">
        <v>0</v>
      </c>
      <c r="T9">
        <v>35</v>
      </c>
      <c r="U9">
        <v>0</v>
      </c>
      <c r="V9">
        <v>360</v>
      </c>
      <c r="X9">
        <f>SUM(R9,V9)/Z9</f>
        <v>0.91139240506329111</v>
      </c>
      <c r="Y9">
        <f>SUM(S9:U9)/Z9</f>
        <v>8.8607594936708861E-2</v>
      </c>
      <c r="Z9">
        <f>SUM(R9:V9)</f>
        <v>395</v>
      </c>
    </row>
    <row r="10" spans="1:26" x14ac:dyDescent="0.25">
      <c r="A10" t="s">
        <v>19</v>
      </c>
      <c r="B10" t="s">
        <v>0</v>
      </c>
      <c r="C10" t="s">
        <v>4</v>
      </c>
      <c r="D10">
        <v>1.45061616785824E-3</v>
      </c>
      <c r="E10">
        <v>5</v>
      </c>
      <c r="F10">
        <v>267</v>
      </c>
      <c r="G10" t="str">
        <f t="shared" si="0"/>
        <v>OOD</v>
      </c>
      <c r="H10">
        <f t="shared" si="1"/>
        <v>3</v>
      </c>
      <c r="J10">
        <f t="shared" si="2"/>
        <v>0</v>
      </c>
      <c r="K10">
        <f t="shared" si="3"/>
        <v>0</v>
      </c>
      <c r="L10">
        <f t="shared" si="4"/>
        <v>5</v>
      </c>
      <c r="M10">
        <f t="shared" si="5"/>
        <v>0</v>
      </c>
      <c r="N10">
        <f t="shared" si="6"/>
        <v>0</v>
      </c>
      <c r="Q10" t="s">
        <v>7</v>
      </c>
      <c r="R10">
        <v>0</v>
      </c>
      <c r="S10">
        <v>0</v>
      </c>
      <c r="T10">
        <v>221</v>
      </c>
      <c r="U10">
        <v>0</v>
      </c>
      <c r="V10">
        <v>0</v>
      </c>
      <c r="X10">
        <f t="shared" ref="X10:X22" si="7">SUM(R10,V10)/Z10</f>
        <v>0</v>
      </c>
      <c r="Y10">
        <f t="shared" ref="Y10:Y22" si="8">SUM(S10:U10)/Z10</f>
        <v>1</v>
      </c>
      <c r="Z10">
        <f t="shared" ref="Z10:Z22" si="9">SUM(R10:V10)</f>
        <v>221</v>
      </c>
    </row>
    <row r="11" spans="1:26" x14ac:dyDescent="0.25">
      <c r="A11" t="s">
        <v>19</v>
      </c>
      <c r="B11" t="s">
        <v>0</v>
      </c>
      <c r="C11" t="s">
        <v>2</v>
      </c>
      <c r="D11">
        <v>1.43467382683108E-3</v>
      </c>
      <c r="E11">
        <v>3</v>
      </c>
      <c r="F11">
        <v>267</v>
      </c>
      <c r="G11" t="str">
        <f t="shared" si="0"/>
        <v>OOD</v>
      </c>
      <c r="H11">
        <f t="shared" si="1"/>
        <v>3</v>
      </c>
      <c r="J11">
        <f t="shared" si="2"/>
        <v>0</v>
      </c>
      <c r="K11">
        <f t="shared" si="3"/>
        <v>0</v>
      </c>
      <c r="L11">
        <f t="shared" si="4"/>
        <v>3</v>
      </c>
      <c r="M11">
        <f t="shared" si="5"/>
        <v>0</v>
      </c>
      <c r="N11">
        <f t="shared" si="6"/>
        <v>0</v>
      </c>
      <c r="Q11" t="s">
        <v>0</v>
      </c>
      <c r="R11">
        <v>0</v>
      </c>
      <c r="S11">
        <v>0</v>
      </c>
      <c r="T11">
        <v>12</v>
      </c>
      <c r="U11">
        <v>0</v>
      </c>
      <c r="V11">
        <v>255</v>
      </c>
      <c r="X11">
        <f t="shared" si="7"/>
        <v>0.9550561797752809</v>
      </c>
      <c r="Y11">
        <f t="shared" si="8"/>
        <v>4.49438202247191E-2</v>
      </c>
      <c r="Z11">
        <f t="shared" si="9"/>
        <v>267</v>
      </c>
    </row>
    <row r="12" spans="1:26" x14ac:dyDescent="0.25">
      <c r="A12" t="s">
        <v>19</v>
      </c>
      <c r="B12" t="s">
        <v>2</v>
      </c>
      <c r="C12" t="s">
        <v>2</v>
      </c>
      <c r="D12">
        <v>1.46342812112762E-3</v>
      </c>
      <c r="E12">
        <v>69</v>
      </c>
      <c r="F12">
        <v>118</v>
      </c>
      <c r="G12" t="str">
        <f t="shared" si="0"/>
        <v>OOD</v>
      </c>
      <c r="H12">
        <f t="shared" si="1"/>
        <v>3</v>
      </c>
      <c r="J12">
        <f t="shared" si="2"/>
        <v>0</v>
      </c>
      <c r="K12">
        <f t="shared" si="3"/>
        <v>0</v>
      </c>
      <c r="L12">
        <f t="shared" si="4"/>
        <v>69</v>
      </c>
      <c r="M12">
        <f t="shared" si="5"/>
        <v>0</v>
      </c>
      <c r="N12">
        <f t="shared" si="6"/>
        <v>0</v>
      </c>
      <c r="Q12" t="s">
        <v>2</v>
      </c>
      <c r="R12">
        <v>0</v>
      </c>
      <c r="S12">
        <v>0</v>
      </c>
      <c r="T12">
        <v>118</v>
      </c>
      <c r="U12">
        <v>0</v>
      </c>
      <c r="V12">
        <v>0</v>
      </c>
      <c r="X12">
        <f t="shared" si="7"/>
        <v>0</v>
      </c>
      <c r="Y12">
        <f t="shared" si="8"/>
        <v>1</v>
      </c>
      <c r="Z12">
        <f t="shared" si="9"/>
        <v>118</v>
      </c>
    </row>
    <row r="13" spans="1:26" x14ac:dyDescent="0.25">
      <c r="A13" t="s">
        <v>19</v>
      </c>
      <c r="B13" t="s">
        <v>2</v>
      </c>
      <c r="C13" t="s">
        <v>0</v>
      </c>
      <c r="D13">
        <v>1.3989097735082499E-3</v>
      </c>
      <c r="E13">
        <v>33</v>
      </c>
      <c r="F13">
        <v>118</v>
      </c>
      <c r="G13" t="str">
        <f t="shared" si="0"/>
        <v>OOD</v>
      </c>
      <c r="H13">
        <f t="shared" si="1"/>
        <v>3</v>
      </c>
      <c r="J13">
        <f t="shared" si="2"/>
        <v>0</v>
      </c>
      <c r="K13">
        <f t="shared" si="3"/>
        <v>0</v>
      </c>
      <c r="L13">
        <f t="shared" si="4"/>
        <v>33</v>
      </c>
      <c r="M13">
        <f t="shared" si="5"/>
        <v>0</v>
      </c>
      <c r="N13">
        <f t="shared" si="6"/>
        <v>0</v>
      </c>
      <c r="Q13" t="s">
        <v>4</v>
      </c>
      <c r="R13">
        <v>0</v>
      </c>
      <c r="S13">
        <v>0</v>
      </c>
      <c r="T13">
        <v>254</v>
      </c>
      <c r="U13">
        <v>0</v>
      </c>
      <c r="V13">
        <v>0</v>
      </c>
      <c r="X13">
        <f t="shared" si="7"/>
        <v>0</v>
      </c>
      <c r="Y13">
        <f t="shared" si="8"/>
        <v>1</v>
      </c>
      <c r="Z13">
        <f t="shared" si="9"/>
        <v>254</v>
      </c>
    </row>
    <row r="14" spans="1:26" x14ac:dyDescent="0.25">
      <c r="A14" t="s">
        <v>19</v>
      </c>
      <c r="B14" t="s">
        <v>2</v>
      </c>
      <c r="C14" t="s">
        <v>7</v>
      </c>
      <c r="D14">
        <v>1.4188353205099699E-3</v>
      </c>
      <c r="E14">
        <v>5</v>
      </c>
      <c r="F14">
        <v>118</v>
      </c>
      <c r="G14" t="str">
        <f t="shared" si="0"/>
        <v>OOD</v>
      </c>
      <c r="H14">
        <f t="shared" si="1"/>
        <v>3</v>
      </c>
      <c r="J14">
        <f t="shared" si="2"/>
        <v>0</v>
      </c>
      <c r="K14">
        <f t="shared" si="3"/>
        <v>0</v>
      </c>
      <c r="L14">
        <f t="shared" si="4"/>
        <v>5</v>
      </c>
      <c r="M14">
        <f t="shared" si="5"/>
        <v>0</v>
      </c>
      <c r="N14">
        <f t="shared" si="6"/>
        <v>0</v>
      </c>
      <c r="Q14" t="s">
        <v>18</v>
      </c>
      <c r="R14">
        <v>77</v>
      </c>
      <c r="S14">
        <v>0</v>
      </c>
      <c r="T14">
        <v>0</v>
      </c>
      <c r="U14">
        <v>0</v>
      </c>
      <c r="V14">
        <v>0</v>
      </c>
      <c r="X14">
        <f t="shared" si="7"/>
        <v>1</v>
      </c>
      <c r="Y14">
        <f t="shared" si="8"/>
        <v>0</v>
      </c>
      <c r="Z14">
        <f t="shared" si="9"/>
        <v>77</v>
      </c>
    </row>
    <row r="15" spans="1:26" x14ac:dyDescent="0.25">
      <c r="A15" t="s">
        <v>19</v>
      </c>
      <c r="B15" t="s">
        <v>2</v>
      </c>
      <c r="C15" t="s">
        <v>3</v>
      </c>
      <c r="D15">
        <v>1.4077196537982601E-3</v>
      </c>
      <c r="E15">
        <v>8</v>
      </c>
      <c r="F15">
        <v>118</v>
      </c>
      <c r="G15" t="str">
        <f t="shared" si="0"/>
        <v>OOD</v>
      </c>
      <c r="H15">
        <f t="shared" si="1"/>
        <v>3</v>
      </c>
      <c r="J15">
        <f t="shared" si="2"/>
        <v>0</v>
      </c>
      <c r="K15">
        <f t="shared" si="3"/>
        <v>0</v>
      </c>
      <c r="L15">
        <f t="shared" si="4"/>
        <v>8</v>
      </c>
      <c r="M15">
        <f t="shared" si="5"/>
        <v>0</v>
      </c>
      <c r="N15">
        <f t="shared" si="6"/>
        <v>0</v>
      </c>
      <c r="Q15" t="s">
        <v>17</v>
      </c>
      <c r="R15">
        <v>201</v>
      </c>
      <c r="S15">
        <v>0</v>
      </c>
      <c r="T15">
        <v>0</v>
      </c>
      <c r="U15">
        <v>0</v>
      </c>
      <c r="V15">
        <v>0</v>
      </c>
      <c r="X15">
        <f t="shared" si="7"/>
        <v>1</v>
      </c>
      <c r="Y15">
        <f t="shared" si="8"/>
        <v>0</v>
      </c>
      <c r="Z15">
        <f t="shared" si="9"/>
        <v>201</v>
      </c>
    </row>
    <row r="16" spans="1:26" x14ac:dyDescent="0.25">
      <c r="A16" t="s">
        <v>19</v>
      </c>
      <c r="B16" t="s">
        <v>2</v>
      </c>
      <c r="C16" t="s">
        <v>4</v>
      </c>
      <c r="D16">
        <v>1.3698055796946E-3</v>
      </c>
      <c r="E16">
        <v>3</v>
      </c>
      <c r="F16">
        <v>118</v>
      </c>
      <c r="G16" t="str">
        <f t="shared" si="0"/>
        <v>OOD</v>
      </c>
      <c r="H16">
        <f t="shared" si="1"/>
        <v>3</v>
      </c>
      <c r="J16">
        <f t="shared" si="2"/>
        <v>0</v>
      </c>
      <c r="K16">
        <f t="shared" si="3"/>
        <v>0</v>
      </c>
      <c r="L16">
        <f t="shared" si="4"/>
        <v>3</v>
      </c>
      <c r="M16">
        <f t="shared" si="5"/>
        <v>0</v>
      </c>
      <c r="N16">
        <f t="shared" si="6"/>
        <v>0</v>
      </c>
      <c r="Q16" t="s">
        <v>16</v>
      </c>
      <c r="R16">
        <v>117</v>
      </c>
      <c r="S16">
        <v>0</v>
      </c>
      <c r="T16">
        <v>0</v>
      </c>
      <c r="U16">
        <v>0</v>
      </c>
      <c r="V16">
        <v>0</v>
      </c>
      <c r="X16">
        <f t="shared" si="7"/>
        <v>1</v>
      </c>
      <c r="Y16">
        <f t="shared" si="8"/>
        <v>0</v>
      </c>
      <c r="Z16">
        <f t="shared" si="9"/>
        <v>117</v>
      </c>
    </row>
    <row r="17" spans="1:26" x14ac:dyDescent="0.25">
      <c r="A17" t="s">
        <v>19</v>
      </c>
      <c r="B17" t="s">
        <v>4</v>
      </c>
      <c r="C17" t="s">
        <v>3</v>
      </c>
      <c r="D17">
        <v>1.4388481661352099E-3</v>
      </c>
      <c r="E17">
        <v>63</v>
      </c>
      <c r="F17">
        <v>254</v>
      </c>
      <c r="G17" t="str">
        <f t="shared" si="0"/>
        <v>OOD</v>
      </c>
      <c r="H17">
        <f t="shared" si="1"/>
        <v>3</v>
      </c>
      <c r="J17">
        <f t="shared" si="2"/>
        <v>0</v>
      </c>
      <c r="K17">
        <f t="shared" si="3"/>
        <v>0</v>
      </c>
      <c r="L17">
        <f t="shared" si="4"/>
        <v>63</v>
      </c>
      <c r="M17">
        <f t="shared" si="5"/>
        <v>0</v>
      </c>
      <c r="N17">
        <f t="shared" si="6"/>
        <v>0</v>
      </c>
      <c r="Q17" t="s">
        <v>15</v>
      </c>
      <c r="R17">
        <v>347</v>
      </c>
      <c r="S17">
        <v>0</v>
      </c>
      <c r="T17">
        <v>0</v>
      </c>
      <c r="U17">
        <v>0</v>
      </c>
      <c r="V17">
        <v>0</v>
      </c>
      <c r="X17">
        <f t="shared" si="7"/>
        <v>1</v>
      </c>
      <c r="Y17">
        <f t="shared" si="8"/>
        <v>0</v>
      </c>
      <c r="Z17">
        <f t="shared" si="9"/>
        <v>347</v>
      </c>
    </row>
    <row r="18" spans="1:26" x14ac:dyDescent="0.25">
      <c r="A18" t="s">
        <v>19</v>
      </c>
      <c r="B18" t="s">
        <v>4</v>
      </c>
      <c r="C18" t="s">
        <v>4</v>
      </c>
      <c r="D18">
        <v>1.4442263893128899E-3</v>
      </c>
      <c r="E18">
        <v>168</v>
      </c>
      <c r="F18">
        <v>254</v>
      </c>
      <c r="G18" t="str">
        <f t="shared" si="0"/>
        <v>OOD</v>
      </c>
      <c r="H18">
        <f t="shared" si="1"/>
        <v>3</v>
      </c>
      <c r="J18">
        <f t="shared" si="2"/>
        <v>0</v>
      </c>
      <c r="K18">
        <f t="shared" si="3"/>
        <v>0</v>
      </c>
      <c r="L18">
        <f t="shared" si="4"/>
        <v>168</v>
      </c>
      <c r="M18">
        <f t="shared" si="5"/>
        <v>0</v>
      </c>
      <c r="N18">
        <f t="shared" si="6"/>
        <v>0</v>
      </c>
      <c r="Q18" t="s">
        <v>14</v>
      </c>
      <c r="R18">
        <v>105</v>
      </c>
      <c r="S18">
        <v>0</v>
      </c>
      <c r="T18">
        <v>0</v>
      </c>
      <c r="U18">
        <v>0</v>
      </c>
      <c r="V18">
        <v>0</v>
      </c>
      <c r="X18">
        <f t="shared" si="7"/>
        <v>1</v>
      </c>
      <c r="Y18">
        <f t="shared" si="8"/>
        <v>0</v>
      </c>
      <c r="Z18">
        <f t="shared" si="9"/>
        <v>105</v>
      </c>
    </row>
    <row r="19" spans="1:26" x14ac:dyDescent="0.25">
      <c r="A19" t="s">
        <v>19</v>
      </c>
      <c r="B19" t="s">
        <v>4</v>
      </c>
      <c r="C19" t="s">
        <v>0</v>
      </c>
      <c r="D19">
        <v>1.37361114550577E-3</v>
      </c>
      <c r="E19">
        <v>19</v>
      </c>
      <c r="F19">
        <v>254</v>
      </c>
      <c r="G19" t="str">
        <f t="shared" si="0"/>
        <v>OOD</v>
      </c>
      <c r="H19">
        <f t="shared" si="1"/>
        <v>3</v>
      </c>
      <c r="J19">
        <f t="shared" si="2"/>
        <v>0</v>
      </c>
      <c r="K19">
        <f t="shared" si="3"/>
        <v>0</v>
      </c>
      <c r="L19">
        <f t="shared" si="4"/>
        <v>19</v>
      </c>
      <c r="M19">
        <f t="shared" si="5"/>
        <v>0</v>
      </c>
      <c r="N19">
        <f t="shared" si="6"/>
        <v>0</v>
      </c>
      <c r="Q19" t="s">
        <v>8</v>
      </c>
      <c r="R19">
        <v>390</v>
      </c>
      <c r="S19">
        <v>0</v>
      </c>
      <c r="T19">
        <v>0</v>
      </c>
      <c r="U19">
        <v>0</v>
      </c>
      <c r="V19">
        <v>0</v>
      </c>
      <c r="X19">
        <f t="shared" si="7"/>
        <v>1</v>
      </c>
      <c r="Y19">
        <f t="shared" si="8"/>
        <v>0</v>
      </c>
      <c r="Z19">
        <f t="shared" si="9"/>
        <v>390</v>
      </c>
    </row>
    <row r="20" spans="1:26" x14ac:dyDescent="0.25">
      <c r="A20" t="s">
        <v>19</v>
      </c>
      <c r="B20" t="s">
        <v>4</v>
      </c>
      <c r="C20" t="s">
        <v>2</v>
      </c>
      <c r="D20">
        <v>1.3900255144108E-3</v>
      </c>
      <c r="E20">
        <v>4</v>
      </c>
      <c r="F20">
        <v>254</v>
      </c>
      <c r="G20" t="str">
        <f t="shared" si="0"/>
        <v>OOD</v>
      </c>
      <c r="H20">
        <f t="shared" si="1"/>
        <v>3</v>
      </c>
      <c r="J20">
        <f t="shared" si="2"/>
        <v>0</v>
      </c>
      <c r="K20">
        <f t="shared" si="3"/>
        <v>0</v>
      </c>
      <c r="L20">
        <f t="shared" si="4"/>
        <v>4</v>
      </c>
      <c r="M20">
        <f t="shared" si="5"/>
        <v>0</v>
      </c>
      <c r="N20">
        <f t="shared" si="6"/>
        <v>0</v>
      </c>
      <c r="Q20" t="s">
        <v>6</v>
      </c>
      <c r="R20">
        <v>181</v>
      </c>
      <c r="S20">
        <v>0</v>
      </c>
      <c r="T20">
        <v>0</v>
      </c>
      <c r="U20">
        <v>0</v>
      </c>
      <c r="V20">
        <v>0</v>
      </c>
      <c r="X20">
        <f t="shared" si="7"/>
        <v>1</v>
      </c>
      <c r="Y20">
        <f t="shared" si="8"/>
        <v>0</v>
      </c>
      <c r="Z20">
        <f t="shared" si="9"/>
        <v>181</v>
      </c>
    </row>
    <row r="21" spans="1:26" x14ac:dyDescent="0.25">
      <c r="A21" t="s">
        <v>20</v>
      </c>
      <c r="B21" t="s">
        <v>8</v>
      </c>
      <c r="C21" t="s">
        <v>0</v>
      </c>
      <c r="D21">
        <v>1.3800105656042701E-3</v>
      </c>
      <c r="E21">
        <v>289</v>
      </c>
      <c r="F21">
        <v>390</v>
      </c>
      <c r="G21" t="str">
        <f t="shared" si="0"/>
        <v>OOD</v>
      </c>
      <c r="H21">
        <f t="shared" si="1"/>
        <v>1</v>
      </c>
      <c r="J21">
        <f t="shared" si="2"/>
        <v>289</v>
      </c>
      <c r="K21">
        <f t="shared" si="3"/>
        <v>0</v>
      </c>
      <c r="L21">
        <f t="shared" si="4"/>
        <v>0</v>
      </c>
      <c r="M21">
        <f t="shared" si="5"/>
        <v>0</v>
      </c>
      <c r="N21">
        <f t="shared" si="6"/>
        <v>0</v>
      </c>
      <c r="Q21" t="s">
        <v>5</v>
      </c>
      <c r="R21">
        <v>135</v>
      </c>
      <c r="S21">
        <v>0</v>
      </c>
      <c r="T21">
        <v>0</v>
      </c>
      <c r="U21">
        <v>0</v>
      </c>
      <c r="V21">
        <v>0</v>
      </c>
      <c r="X21">
        <f t="shared" si="7"/>
        <v>1</v>
      </c>
      <c r="Y21">
        <f t="shared" si="8"/>
        <v>0</v>
      </c>
      <c r="Z21">
        <f t="shared" si="9"/>
        <v>135</v>
      </c>
    </row>
    <row r="22" spans="1:26" x14ac:dyDescent="0.25">
      <c r="A22" t="str">
        <f>A21</f>
        <v>OOD</v>
      </c>
      <c r="B22" t="s">
        <v>8</v>
      </c>
      <c r="C22" t="s">
        <v>2</v>
      </c>
      <c r="D22">
        <v>1.3849171300534999E-3</v>
      </c>
      <c r="E22">
        <v>48</v>
      </c>
      <c r="F22">
        <v>390</v>
      </c>
      <c r="G22" t="str">
        <f t="shared" si="0"/>
        <v>OOD</v>
      </c>
      <c r="H22">
        <f t="shared" si="1"/>
        <v>1</v>
      </c>
      <c r="J22">
        <f t="shared" si="2"/>
        <v>48</v>
      </c>
      <c r="K22">
        <f t="shared" si="3"/>
        <v>0</v>
      </c>
      <c r="L22">
        <f t="shared" si="4"/>
        <v>0</v>
      </c>
      <c r="M22">
        <f t="shared" si="5"/>
        <v>0</v>
      </c>
      <c r="N22">
        <f t="shared" si="6"/>
        <v>0</v>
      </c>
      <c r="Q22" t="s">
        <v>1</v>
      </c>
      <c r="R22">
        <v>82</v>
      </c>
      <c r="S22">
        <v>0</v>
      </c>
      <c r="T22">
        <v>0</v>
      </c>
      <c r="U22">
        <v>0</v>
      </c>
      <c r="V22">
        <v>0</v>
      </c>
      <c r="X22">
        <f t="shared" si="7"/>
        <v>1</v>
      </c>
      <c r="Y22">
        <f t="shared" si="8"/>
        <v>0</v>
      </c>
      <c r="Z22">
        <f t="shared" si="9"/>
        <v>82</v>
      </c>
    </row>
    <row r="23" spans="1:26" x14ac:dyDescent="0.25">
      <c r="A23" t="str">
        <f t="shared" ref="A23:A36" si="10">A22</f>
        <v>OOD</v>
      </c>
      <c r="B23" t="s">
        <v>8</v>
      </c>
      <c r="C23" t="s">
        <v>7</v>
      </c>
      <c r="D23">
        <v>1.34445413714274E-3</v>
      </c>
      <c r="E23">
        <v>10</v>
      </c>
      <c r="F23">
        <v>390</v>
      </c>
      <c r="G23" t="str">
        <f t="shared" si="0"/>
        <v>OOD</v>
      </c>
      <c r="H23">
        <f t="shared" si="1"/>
        <v>1</v>
      </c>
      <c r="J23">
        <f t="shared" si="2"/>
        <v>10</v>
      </c>
      <c r="K23">
        <f t="shared" si="3"/>
        <v>0</v>
      </c>
      <c r="L23">
        <f t="shared" si="4"/>
        <v>0</v>
      </c>
      <c r="M23">
        <f t="shared" si="5"/>
        <v>0</v>
      </c>
      <c r="N23">
        <f t="shared" si="6"/>
        <v>0</v>
      </c>
    </row>
    <row r="24" spans="1:26" x14ac:dyDescent="0.25">
      <c r="A24" t="str">
        <f t="shared" si="10"/>
        <v>OOD</v>
      </c>
      <c r="B24" t="s">
        <v>8</v>
      </c>
      <c r="C24" t="s">
        <v>3</v>
      </c>
      <c r="D24">
        <v>1.3885109618838301E-3</v>
      </c>
      <c r="E24">
        <v>35</v>
      </c>
      <c r="F24">
        <v>390</v>
      </c>
      <c r="G24" t="str">
        <f t="shared" si="0"/>
        <v>OOD</v>
      </c>
      <c r="H24">
        <f t="shared" si="1"/>
        <v>1</v>
      </c>
      <c r="J24">
        <f t="shared" si="2"/>
        <v>35</v>
      </c>
      <c r="K24">
        <f t="shared" si="3"/>
        <v>0</v>
      </c>
      <c r="L24">
        <f t="shared" si="4"/>
        <v>0</v>
      </c>
      <c r="M24">
        <f t="shared" si="5"/>
        <v>0</v>
      </c>
      <c r="N24">
        <f t="shared" si="6"/>
        <v>0</v>
      </c>
    </row>
    <row r="25" spans="1:26" x14ac:dyDescent="0.25">
      <c r="A25" t="str">
        <f t="shared" si="10"/>
        <v>OOD</v>
      </c>
      <c r="B25" t="s">
        <v>8</v>
      </c>
      <c r="C25" t="s">
        <v>4</v>
      </c>
      <c r="D25">
        <v>1.36946247948799E-3</v>
      </c>
      <c r="E25">
        <v>8</v>
      </c>
      <c r="F25">
        <v>390</v>
      </c>
      <c r="G25" t="str">
        <f t="shared" si="0"/>
        <v>OOD</v>
      </c>
      <c r="H25">
        <f t="shared" si="1"/>
        <v>1</v>
      </c>
      <c r="J25">
        <f t="shared" si="2"/>
        <v>8</v>
      </c>
      <c r="K25">
        <f t="shared" si="3"/>
        <v>0</v>
      </c>
      <c r="L25">
        <f t="shared" si="4"/>
        <v>0</v>
      </c>
      <c r="M25">
        <f t="shared" si="5"/>
        <v>0</v>
      </c>
      <c r="N25">
        <f t="shared" si="6"/>
        <v>0</v>
      </c>
    </row>
    <row r="26" spans="1:26" x14ac:dyDescent="0.25">
      <c r="A26" t="str">
        <f t="shared" si="10"/>
        <v>OOD</v>
      </c>
      <c r="B26" t="s">
        <v>6</v>
      </c>
      <c r="C26" t="s">
        <v>7</v>
      </c>
      <c r="D26">
        <v>1.47379126278896E-3</v>
      </c>
      <c r="E26">
        <v>131</v>
      </c>
      <c r="F26">
        <v>181</v>
      </c>
      <c r="G26" t="str">
        <f t="shared" si="0"/>
        <v>OOD</v>
      </c>
      <c r="H26">
        <f t="shared" si="1"/>
        <v>1</v>
      </c>
      <c r="J26">
        <f t="shared" si="2"/>
        <v>131</v>
      </c>
      <c r="K26">
        <f t="shared" si="3"/>
        <v>0</v>
      </c>
      <c r="L26">
        <f t="shared" si="4"/>
        <v>0</v>
      </c>
      <c r="M26">
        <f t="shared" si="5"/>
        <v>0</v>
      </c>
      <c r="N26">
        <f t="shared" si="6"/>
        <v>0</v>
      </c>
    </row>
    <row r="27" spans="1:26" x14ac:dyDescent="0.25">
      <c r="A27" t="str">
        <f t="shared" si="10"/>
        <v>OOD</v>
      </c>
      <c r="B27" t="s">
        <v>6</v>
      </c>
      <c r="C27" t="s">
        <v>0</v>
      </c>
      <c r="D27">
        <v>1.46819109310551E-3</v>
      </c>
      <c r="E27">
        <v>48</v>
      </c>
      <c r="F27">
        <v>181</v>
      </c>
      <c r="G27" t="str">
        <f t="shared" si="0"/>
        <v>OOD</v>
      </c>
      <c r="H27">
        <f t="shared" si="1"/>
        <v>1</v>
      </c>
      <c r="J27">
        <f t="shared" si="2"/>
        <v>48</v>
      </c>
      <c r="K27">
        <f t="shared" si="3"/>
        <v>0</v>
      </c>
      <c r="L27">
        <f t="shared" si="4"/>
        <v>0</v>
      </c>
      <c r="M27">
        <f t="shared" si="5"/>
        <v>0</v>
      </c>
      <c r="N27">
        <f t="shared" si="6"/>
        <v>0</v>
      </c>
    </row>
    <row r="28" spans="1:26" x14ac:dyDescent="0.25">
      <c r="A28" t="str">
        <f t="shared" si="10"/>
        <v>OOD</v>
      </c>
      <c r="B28" t="s">
        <v>6</v>
      </c>
      <c r="C28" t="s">
        <v>3</v>
      </c>
      <c r="D28">
        <v>1.3014117721468199E-3</v>
      </c>
      <c r="E28">
        <v>2</v>
      </c>
      <c r="F28">
        <v>181</v>
      </c>
      <c r="G28" t="str">
        <f t="shared" si="0"/>
        <v>OOD</v>
      </c>
      <c r="H28">
        <f t="shared" si="1"/>
        <v>1</v>
      </c>
      <c r="J28">
        <f t="shared" si="2"/>
        <v>2</v>
      </c>
      <c r="K28">
        <f t="shared" si="3"/>
        <v>0</v>
      </c>
      <c r="L28">
        <f t="shared" si="4"/>
        <v>0</v>
      </c>
      <c r="M28">
        <f t="shared" si="5"/>
        <v>0</v>
      </c>
      <c r="N28">
        <f t="shared" si="6"/>
        <v>0</v>
      </c>
    </row>
    <row r="29" spans="1:26" x14ac:dyDescent="0.25">
      <c r="A29" t="str">
        <f t="shared" si="10"/>
        <v>OOD</v>
      </c>
      <c r="B29" t="s">
        <v>5</v>
      </c>
      <c r="C29" t="s">
        <v>4</v>
      </c>
      <c r="D29">
        <v>1.32618650659975E-3</v>
      </c>
      <c r="E29">
        <v>66</v>
      </c>
      <c r="F29">
        <v>135</v>
      </c>
      <c r="G29" t="str">
        <f t="shared" si="0"/>
        <v>OOD</v>
      </c>
      <c r="H29">
        <f t="shared" si="1"/>
        <v>1</v>
      </c>
      <c r="J29">
        <f t="shared" si="2"/>
        <v>66</v>
      </c>
      <c r="K29">
        <f t="shared" si="3"/>
        <v>0</v>
      </c>
      <c r="L29">
        <f t="shared" si="4"/>
        <v>0</v>
      </c>
      <c r="M29">
        <f t="shared" si="5"/>
        <v>0</v>
      </c>
      <c r="N29">
        <f t="shared" si="6"/>
        <v>0</v>
      </c>
    </row>
    <row r="30" spans="1:26" x14ac:dyDescent="0.25">
      <c r="A30" t="str">
        <f t="shared" si="10"/>
        <v>OOD</v>
      </c>
      <c r="B30" t="s">
        <v>5</v>
      </c>
      <c r="C30" t="s">
        <v>0</v>
      </c>
      <c r="D30">
        <v>1.35309059614649E-3</v>
      </c>
      <c r="E30">
        <v>39</v>
      </c>
      <c r="F30">
        <v>135</v>
      </c>
      <c r="G30" t="str">
        <f t="shared" si="0"/>
        <v>OOD</v>
      </c>
      <c r="H30">
        <f t="shared" si="1"/>
        <v>1</v>
      </c>
      <c r="J30">
        <f t="shared" si="2"/>
        <v>39</v>
      </c>
      <c r="K30">
        <f t="shared" si="3"/>
        <v>0</v>
      </c>
      <c r="L30">
        <f t="shared" si="4"/>
        <v>0</v>
      </c>
      <c r="M30">
        <f t="shared" si="5"/>
        <v>0</v>
      </c>
      <c r="N30">
        <f t="shared" si="6"/>
        <v>0</v>
      </c>
    </row>
    <row r="31" spans="1:26" x14ac:dyDescent="0.25">
      <c r="A31" t="str">
        <f t="shared" si="10"/>
        <v>OOD</v>
      </c>
      <c r="B31" t="s">
        <v>5</v>
      </c>
      <c r="C31" t="s">
        <v>7</v>
      </c>
      <c r="D31">
        <v>1.3177615876954301E-3</v>
      </c>
      <c r="E31">
        <v>13</v>
      </c>
      <c r="F31">
        <v>135</v>
      </c>
      <c r="G31" t="str">
        <f t="shared" si="0"/>
        <v>OOD</v>
      </c>
      <c r="H31">
        <f t="shared" si="1"/>
        <v>1</v>
      </c>
      <c r="J31">
        <f t="shared" si="2"/>
        <v>13</v>
      </c>
      <c r="K31">
        <f t="shared" si="3"/>
        <v>0</v>
      </c>
      <c r="L31">
        <f t="shared" si="4"/>
        <v>0</v>
      </c>
      <c r="M31">
        <f t="shared" si="5"/>
        <v>0</v>
      </c>
      <c r="N31">
        <f t="shared" si="6"/>
        <v>0</v>
      </c>
    </row>
    <row r="32" spans="1:26" x14ac:dyDescent="0.25">
      <c r="A32" t="str">
        <f t="shared" si="10"/>
        <v>OOD</v>
      </c>
      <c r="B32" t="s">
        <v>5</v>
      </c>
      <c r="C32" t="s">
        <v>2</v>
      </c>
      <c r="D32">
        <v>1.3281092746183199E-3</v>
      </c>
      <c r="E32">
        <v>10</v>
      </c>
      <c r="F32">
        <v>135</v>
      </c>
      <c r="G32" t="str">
        <f t="shared" si="0"/>
        <v>OOD</v>
      </c>
      <c r="H32">
        <f t="shared" si="1"/>
        <v>1</v>
      </c>
      <c r="J32">
        <f t="shared" si="2"/>
        <v>10</v>
      </c>
      <c r="K32">
        <f t="shared" si="3"/>
        <v>0</v>
      </c>
      <c r="L32">
        <f t="shared" si="4"/>
        <v>0</v>
      </c>
      <c r="M32">
        <f t="shared" si="5"/>
        <v>0</v>
      </c>
      <c r="N32">
        <f t="shared" si="6"/>
        <v>0</v>
      </c>
    </row>
    <row r="33" spans="1:14" x14ac:dyDescent="0.25">
      <c r="A33" t="str">
        <f t="shared" si="10"/>
        <v>OOD</v>
      </c>
      <c r="B33" t="s">
        <v>5</v>
      </c>
      <c r="C33" t="s">
        <v>3</v>
      </c>
      <c r="D33">
        <v>1.29023891141904E-3</v>
      </c>
      <c r="E33">
        <v>7</v>
      </c>
      <c r="F33">
        <v>135</v>
      </c>
      <c r="G33" t="str">
        <f t="shared" si="0"/>
        <v>OOD</v>
      </c>
      <c r="H33">
        <f t="shared" si="1"/>
        <v>1</v>
      </c>
      <c r="J33">
        <f t="shared" si="2"/>
        <v>7</v>
      </c>
      <c r="K33">
        <f t="shared" si="3"/>
        <v>0</v>
      </c>
      <c r="L33">
        <f t="shared" si="4"/>
        <v>0</v>
      </c>
      <c r="M33">
        <f t="shared" si="5"/>
        <v>0</v>
      </c>
      <c r="N33">
        <f t="shared" si="6"/>
        <v>0</v>
      </c>
    </row>
    <row r="34" spans="1:14" x14ac:dyDescent="0.25">
      <c r="A34" t="str">
        <f t="shared" si="10"/>
        <v>OOD</v>
      </c>
      <c r="B34" t="s">
        <v>1</v>
      </c>
      <c r="C34" t="s">
        <v>0</v>
      </c>
      <c r="D34">
        <v>1.41462234647146E-3</v>
      </c>
      <c r="E34">
        <v>35</v>
      </c>
      <c r="F34">
        <v>82</v>
      </c>
      <c r="G34" t="str">
        <f t="shared" ref="G34:G58" si="11">IF(D34&gt;=$P$2,"ID","OOD")</f>
        <v>OOD</v>
      </c>
      <c r="H34">
        <f t="shared" ref="H34:H58" si="12">IF(AND(A34="OOD",G34="OOD"),1,IF(AND(A34="OOD",G34="ID"),2,IF(AND(A34="ID",G34="OOD"),3,IF(AND(A34="ID",G34="ID",B34&lt;&gt;C34),4,IF(AND(A34="ID",G34="ID",B34=C34),5,"!!!")))))</f>
        <v>1</v>
      </c>
      <c r="J34">
        <f t="shared" ref="J34:J58" si="13">IF($H34=$J$1,$E34,0)</f>
        <v>35</v>
      </c>
      <c r="K34">
        <f t="shared" ref="K34:K58" si="14">IF($H34=$K$1,$E34,0)</f>
        <v>0</v>
      </c>
      <c r="L34">
        <f t="shared" ref="L34:L58" si="15">IF($H34=$L$1,$E34,0)</f>
        <v>0</v>
      </c>
      <c r="M34">
        <f t="shared" ref="M34:M58" si="16">IF($H34=$M$1,$E34,0)</f>
        <v>0</v>
      </c>
      <c r="N34">
        <f t="shared" ref="N34:N58" si="17">IF($H34=$N$1,$E34,0)</f>
        <v>0</v>
      </c>
    </row>
    <row r="35" spans="1:14" x14ac:dyDescent="0.25">
      <c r="A35" t="str">
        <f t="shared" si="10"/>
        <v>OOD</v>
      </c>
      <c r="B35" t="s">
        <v>1</v>
      </c>
      <c r="C35" t="s">
        <v>3</v>
      </c>
      <c r="D35">
        <v>1.45730398997495E-3</v>
      </c>
      <c r="E35">
        <v>44</v>
      </c>
      <c r="F35">
        <v>82</v>
      </c>
      <c r="G35" t="str">
        <f t="shared" si="11"/>
        <v>OOD</v>
      </c>
      <c r="H35">
        <f t="shared" si="12"/>
        <v>1</v>
      </c>
      <c r="J35">
        <f t="shared" si="13"/>
        <v>44</v>
      </c>
      <c r="K35">
        <f t="shared" si="14"/>
        <v>0</v>
      </c>
      <c r="L35">
        <f t="shared" si="15"/>
        <v>0</v>
      </c>
      <c r="M35">
        <f t="shared" si="16"/>
        <v>0</v>
      </c>
      <c r="N35">
        <f t="shared" si="17"/>
        <v>0</v>
      </c>
    </row>
    <row r="36" spans="1:14" x14ac:dyDescent="0.25">
      <c r="A36" t="str">
        <f t="shared" si="10"/>
        <v>OOD</v>
      </c>
      <c r="B36" t="s">
        <v>1</v>
      </c>
      <c r="C36" t="s">
        <v>2</v>
      </c>
      <c r="D36">
        <v>1.35060516186058E-3</v>
      </c>
      <c r="E36">
        <v>3</v>
      </c>
      <c r="F36">
        <v>82</v>
      </c>
      <c r="G36" t="str">
        <f t="shared" si="11"/>
        <v>OOD</v>
      </c>
      <c r="H36">
        <f t="shared" si="12"/>
        <v>1</v>
      </c>
      <c r="J36">
        <f t="shared" si="13"/>
        <v>3</v>
      </c>
      <c r="K36">
        <f t="shared" si="14"/>
        <v>0</v>
      </c>
      <c r="L36">
        <f t="shared" si="15"/>
        <v>0</v>
      </c>
      <c r="M36">
        <f t="shared" si="16"/>
        <v>0</v>
      </c>
      <c r="N36">
        <f t="shared" si="17"/>
        <v>0</v>
      </c>
    </row>
    <row r="37" spans="1:14" x14ac:dyDescent="0.25">
      <c r="A37" t="s">
        <v>20</v>
      </c>
      <c r="B37" t="s">
        <v>18</v>
      </c>
      <c r="C37" t="s">
        <v>0</v>
      </c>
      <c r="D37">
        <v>1.39865645480046E-3</v>
      </c>
      <c r="E37">
        <v>41</v>
      </c>
      <c r="F37">
        <v>77</v>
      </c>
      <c r="G37" t="str">
        <f t="shared" si="11"/>
        <v>OOD</v>
      </c>
      <c r="H37">
        <f t="shared" si="12"/>
        <v>1</v>
      </c>
      <c r="J37">
        <f t="shared" si="13"/>
        <v>41</v>
      </c>
      <c r="K37">
        <f t="shared" si="14"/>
        <v>0</v>
      </c>
      <c r="L37">
        <f t="shared" si="15"/>
        <v>0</v>
      </c>
      <c r="M37">
        <f t="shared" si="16"/>
        <v>0</v>
      </c>
      <c r="N37">
        <f t="shared" si="17"/>
        <v>0</v>
      </c>
    </row>
    <row r="38" spans="1:14" x14ac:dyDescent="0.25">
      <c r="A38" t="s">
        <v>20</v>
      </c>
      <c r="B38" t="s">
        <v>18</v>
      </c>
      <c r="C38" t="s">
        <v>3</v>
      </c>
      <c r="D38">
        <v>1.35818509152159E-3</v>
      </c>
      <c r="E38">
        <v>20</v>
      </c>
      <c r="F38">
        <v>77</v>
      </c>
      <c r="G38" t="str">
        <f t="shared" si="11"/>
        <v>OOD</v>
      </c>
      <c r="H38">
        <f t="shared" si="12"/>
        <v>1</v>
      </c>
      <c r="J38">
        <f t="shared" si="13"/>
        <v>20</v>
      </c>
      <c r="K38">
        <f t="shared" si="14"/>
        <v>0</v>
      </c>
      <c r="L38">
        <f t="shared" si="15"/>
        <v>0</v>
      </c>
      <c r="M38">
        <f t="shared" si="16"/>
        <v>0</v>
      </c>
      <c r="N38">
        <f t="shared" si="17"/>
        <v>0</v>
      </c>
    </row>
    <row r="39" spans="1:14" x14ac:dyDescent="0.25">
      <c r="A39" t="s">
        <v>20</v>
      </c>
      <c r="B39" t="s">
        <v>18</v>
      </c>
      <c r="C39" t="s">
        <v>7</v>
      </c>
      <c r="D39">
        <v>1.37182865624449E-3</v>
      </c>
      <c r="E39">
        <v>14</v>
      </c>
      <c r="F39">
        <v>77</v>
      </c>
      <c r="G39" t="str">
        <f t="shared" si="11"/>
        <v>OOD</v>
      </c>
      <c r="H39">
        <f t="shared" si="12"/>
        <v>1</v>
      </c>
      <c r="J39">
        <f t="shared" si="13"/>
        <v>14</v>
      </c>
      <c r="K39">
        <f t="shared" si="14"/>
        <v>0</v>
      </c>
      <c r="L39">
        <f t="shared" si="15"/>
        <v>0</v>
      </c>
      <c r="M39">
        <f t="shared" si="16"/>
        <v>0</v>
      </c>
      <c r="N39">
        <f t="shared" si="17"/>
        <v>0</v>
      </c>
    </row>
    <row r="40" spans="1:14" x14ac:dyDescent="0.25">
      <c r="A40" t="s">
        <v>20</v>
      </c>
      <c r="B40" t="s">
        <v>18</v>
      </c>
      <c r="C40" t="s">
        <v>2</v>
      </c>
      <c r="D40">
        <v>1.4228976797312401E-3</v>
      </c>
      <c r="E40">
        <v>2</v>
      </c>
      <c r="F40">
        <v>77</v>
      </c>
      <c r="G40" t="str">
        <f t="shared" si="11"/>
        <v>OOD</v>
      </c>
      <c r="H40">
        <f t="shared" si="12"/>
        <v>1</v>
      </c>
      <c r="J40">
        <f t="shared" si="13"/>
        <v>2</v>
      </c>
      <c r="K40">
        <f t="shared" si="14"/>
        <v>0</v>
      </c>
      <c r="L40">
        <f t="shared" si="15"/>
        <v>0</v>
      </c>
      <c r="M40">
        <f t="shared" si="16"/>
        <v>0</v>
      </c>
      <c r="N40">
        <f t="shared" si="17"/>
        <v>0</v>
      </c>
    </row>
    <row r="41" spans="1:14" x14ac:dyDescent="0.25">
      <c r="A41" t="s">
        <v>20</v>
      </c>
      <c r="B41" t="s">
        <v>17</v>
      </c>
      <c r="C41" t="s">
        <v>3</v>
      </c>
      <c r="D41">
        <v>1.2581067257410501E-3</v>
      </c>
      <c r="E41">
        <v>31</v>
      </c>
      <c r="F41">
        <v>201</v>
      </c>
      <c r="G41" t="str">
        <f t="shared" si="11"/>
        <v>OOD</v>
      </c>
      <c r="H41">
        <f t="shared" si="12"/>
        <v>1</v>
      </c>
      <c r="J41">
        <f t="shared" si="13"/>
        <v>31</v>
      </c>
      <c r="K41">
        <f t="shared" si="14"/>
        <v>0</v>
      </c>
      <c r="L41">
        <f t="shared" si="15"/>
        <v>0</v>
      </c>
      <c r="M41">
        <f t="shared" si="16"/>
        <v>0</v>
      </c>
      <c r="N41">
        <f t="shared" si="17"/>
        <v>0</v>
      </c>
    </row>
    <row r="42" spans="1:14" x14ac:dyDescent="0.25">
      <c r="A42" t="s">
        <v>20</v>
      </c>
      <c r="B42" t="s">
        <v>17</v>
      </c>
      <c r="C42" t="s">
        <v>0</v>
      </c>
      <c r="D42">
        <v>1.3662900851816801E-3</v>
      </c>
      <c r="E42">
        <v>159</v>
      </c>
      <c r="F42">
        <v>201</v>
      </c>
      <c r="G42" t="str">
        <f t="shared" si="11"/>
        <v>OOD</v>
      </c>
      <c r="H42">
        <f t="shared" si="12"/>
        <v>1</v>
      </c>
      <c r="J42">
        <f t="shared" si="13"/>
        <v>159</v>
      </c>
      <c r="K42">
        <f t="shared" si="14"/>
        <v>0</v>
      </c>
      <c r="L42">
        <f t="shared" si="15"/>
        <v>0</v>
      </c>
      <c r="M42">
        <f t="shared" si="16"/>
        <v>0</v>
      </c>
      <c r="N42">
        <f t="shared" si="17"/>
        <v>0</v>
      </c>
    </row>
    <row r="43" spans="1:14" x14ac:dyDescent="0.25">
      <c r="A43" t="s">
        <v>20</v>
      </c>
      <c r="B43" t="s">
        <v>17</v>
      </c>
      <c r="C43" t="s">
        <v>2</v>
      </c>
      <c r="D43">
        <v>1.44482194446027E-3</v>
      </c>
      <c r="E43">
        <v>2</v>
      </c>
      <c r="F43">
        <v>201</v>
      </c>
      <c r="G43" t="str">
        <f t="shared" si="11"/>
        <v>OOD</v>
      </c>
      <c r="H43">
        <f t="shared" si="12"/>
        <v>1</v>
      </c>
      <c r="J43">
        <f t="shared" si="13"/>
        <v>2</v>
      </c>
      <c r="K43">
        <f t="shared" si="14"/>
        <v>0</v>
      </c>
      <c r="L43">
        <f t="shared" si="15"/>
        <v>0</v>
      </c>
      <c r="M43">
        <f t="shared" si="16"/>
        <v>0</v>
      </c>
      <c r="N43">
        <f t="shared" si="17"/>
        <v>0</v>
      </c>
    </row>
    <row r="44" spans="1:14" x14ac:dyDescent="0.25">
      <c r="A44" t="s">
        <v>20</v>
      </c>
      <c r="B44" t="s">
        <v>17</v>
      </c>
      <c r="C44" t="s">
        <v>7</v>
      </c>
      <c r="D44">
        <v>1.3646529987454399E-3</v>
      </c>
      <c r="E44">
        <v>9</v>
      </c>
      <c r="F44">
        <v>201</v>
      </c>
      <c r="G44" t="str">
        <f t="shared" si="11"/>
        <v>OOD</v>
      </c>
      <c r="H44">
        <f t="shared" si="12"/>
        <v>1</v>
      </c>
      <c r="J44">
        <f t="shared" si="13"/>
        <v>9</v>
      </c>
      <c r="K44">
        <f t="shared" si="14"/>
        <v>0</v>
      </c>
      <c r="L44">
        <f t="shared" si="15"/>
        <v>0</v>
      </c>
      <c r="M44">
        <f t="shared" si="16"/>
        <v>0</v>
      </c>
      <c r="N44">
        <f t="shared" si="17"/>
        <v>0</v>
      </c>
    </row>
    <row r="45" spans="1:14" x14ac:dyDescent="0.25">
      <c r="A45" t="s">
        <v>20</v>
      </c>
      <c r="B45" t="s">
        <v>16</v>
      </c>
      <c r="C45" t="s">
        <v>0</v>
      </c>
      <c r="D45">
        <v>1.4115150538046E-3</v>
      </c>
      <c r="E45">
        <v>82</v>
      </c>
      <c r="F45">
        <v>117</v>
      </c>
      <c r="G45" t="str">
        <f t="shared" si="11"/>
        <v>OOD</v>
      </c>
      <c r="H45">
        <f t="shared" si="12"/>
        <v>1</v>
      </c>
      <c r="J45">
        <f t="shared" si="13"/>
        <v>82</v>
      </c>
      <c r="K45">
        <f t="shared" si="14"/>
        <v>0</v>
      </c>
      <c r="L45">
        <f t="shared" si="15"/>
        <v>0</v>
      </c>
      <c r="M45">
        <f t="shared" si="16"/>
        <v>0</v>
      </c>
      <c r="N45">
        <f t="shared" si="17"/>
        <v>0</v>
      </c>
    </row>
    <row r="46" spans="1:14" x14ac:dyDescent="0.25">
      <c r="A46" t="s">
        <v>20</v>
      </c>
      <c r="B46" t="s">
        <v>16</v>
      </c>
      <c r="C46" t="s">
        <v>2</v>
      </c>
      <c r="D46">
        <v>1.42362045880872E-3</v>
      </c>
      <c r="E46">
        <v>8</v>
      </c>
      <c r="F46">
        <v>117</v>
      </c>
      <c r="G46" t="str">
        <f t="shared" si="11"/>
        <v>OOD</v>
      </c>
      <c r="H46">
        <f t="shared" si="12"/>
        <v>1</v>
      </c>
      <c r="J46">
        <f t="shared" si="13"/>
        <v>8</v>
      </c>
      <c r="K46">
        <f t="shared" si="14"/>
        <v>0</v>
      </c>
      <c r="L46">
        <f t="shared" si="15"/>
        <v>0</v>
      </c>
      <c r="M46">
        <f t="shared" si="16"/>
        <v>0</v>
      </c>
      <c r="N46">
        <f t="shared" si="17"/>
        <v>0</v>
      </c>
    </row>
    <row r="47" spans="1:14" x14ac:dyDescent="0.25">
      <c r="A47" t="s">
        <v>20</v>
      </c>
      <c r="B47" t="s">
        <v>16</v>
      </c>
      <c r="C47" t="s">
        <v>7</v>
      </c>
      <c r="D47">
        <v>1.3979027409934299E-3</v>
      </c>
      <c r="E47">
        <v>9</v>
      </c>
      <c r="F47">
        <v>117</v>
      </c>
      <c r="G47" t="str">
        <f t="shared" si="11"/>
        <v>OOD</v>
      </c>
      <c r="H47">
        <f t="shared" si="12"/>
        <v>1</v>
      </c>
      <c r="J47">
        <f t="shared" si="13"/>
        <v>9</v>
      </c>
      <c r="K47">
        <f t="shared" si="14"/>
        <v>0</v>
      </c>
      <c r="L47">
        <f t="shared" si="15"/>
        <v>0</v>
      </c>
      <c r="M47">
        <f t="shared" si="16"/>
        <v>0</v>
      </c>
      <c r="N47">
        <f t="shared" si="17"/>
        <v>0</v>
      </c>
    </row>
    <row r="48" spans="1:14" x14ac:dyDescent="0.25">
      <c r="A48" t="s">
        <v>20</v>
      </c>
      <c r="B48" t="s">
        <v>16</v>
      </c>
      <c r="C48" t="s">
        <v>3</v>
      </c>
      <c r="D48">
        <v>1.3575372733892099E-3</v>
      </c>
      <c r="E48">
        <v>13</v>
      </c>
      <c r="F48">
        <v>117</v>
      </c>
      <c r="G48" t="str">
        <f t="shared" si="11"/>
        <v>OOD</v>
      </c>
      <c r="H48">
        <f t="shared" si="12"/>
        <v>1</v>
      </c>
      <c r="J48">
        <f t="shared" si="13"/>
        <v>13</v>
      </c>
      <c r="K48">
        <f t="shared" si="14"/>
        <v>0</v>
      </c>
      <c r="L48">
        <f t="shared" si="15"/>
        <v>0</v>
      </c>
      <c r="M48">
        <f t="shared" si="16"/>
        <v>0</v>
      </c>
      <c r="N48">
        <f t="shared" si="17"/>
        <v>0</v>
      </c>
    </row>
    <row r="49" spans="1:14" x14ac:dyDescent="0.25">
      <c r="A49" t="s">
        <v>20</v>
      </c>
      <c r="B49" t="s">
        <v>16</v>
      </c>
      <c r="C49" t="s">
        <v>4</v>
      </c>
      <c r="D49">
        <v>1.36751870159059E-3</v>
      </c>
      <c r="E49">
        <v>5</v>
      </c>
      <c r="F49">
        <v>117</v>
      </c>
      <c r="G49" t="str">
        <f t="shared" si="11"/>
        <v>OOD</v>
      </c>
      <c r="H49">
        <f t="shared" si="12"/>
        <v>1</v>
      </c>
      <c r="J49">
        <f t="shared" si="13"/>
        <v>5</v>
      </c>
      <c r="K49">
        <f t="shared" si="14"/>
        <v>0</v>
      </c>
      <c r="L49">
        <f t="shared" si="15"/>
        <v>0</v>
      </c>
      <c r="M49">
        <f t="shared" si="16"/>
        <v>0</v>
      </c>
      <c r="N49">
        <f t="shared" si="17"/>
        <v>0</v>
      </c>
    </row>
    <row r="50" spans="1:14" x14ac:dyDescent="0.25">
      <c r="A50" t="s">
        <v>20</v>
      </c>
      <c r="B50" t="s">
        <v>15</v>
      </c>
      <c r="C50" t="s">
        <v>7</v>
      </c>
      <c r="D50">
        <v>1.4598399928877201E-3</v>
      </c>
      <c r="E50">
        <v>149</v>
      </c>
      <c r="F50">
        <v>347</v>
      </c>
      <c r="G50" t="str">
        <f t="shared" si="11"/>
        <v>OOD</v>
      </c>
      <c r="H50">
        <f t="shared" si="12"/>
        <v>1</v>
      </c>
      <c r="J50">
        <f t="shared" si="13"/>
        <v>149</v>
      </c>
      <c r="K50">
        <f t="shared" si="14"/>
        <v>0</v>
      </c>
      <c r="L50">
        <f t="shared" si="15"/>
        <v>0</v>
      </c>
      <c r="M50">
        <f t="shared" si="16"/>
        <v>0</v>
      </c>
      <c r="N50">
        <f t="shared" si="17"/>
        <v>0</v>
      </c>
    </row>
    <row r="51" spans="1:14" x14ac:dyDescent="0.25">
      <c r="A51" t="s">
        <v>20</v>
      </c>
      <c r="B51" t="s">
        <v>15</v>
      </c>
      <c r="C51" t="s">
        <v>0</v>
      </c>
      <c r="D51">
        <v>1.4383491565859699E-3</v>
      </c>
      <c r="E51">
        <v>188</v>
      </c>
      <c r="F51">
        <v>347</v>
      </c>
      <c r="G51" t="str">
        <f t="shared" si="11"/>
        <v>OOD</v>
      </c>
      <c r="H51">
        <f t="shared" si="12"/>
        <v>1</v>
      </c>
      <c r="J51">
        <f t="shared" si="13"/>
        <v>188</v>
      </c>
      <c r="K51">
        <f t="shared" si="14"/>
        <v>0</v>
      </c>
      <c r="L51">
        <f t="shared" si="15"/>
        <v>0</v>
      </c>
      <c r="M51">
        <f t="shared" si="16"/>
        <v>0</v>
      </c>
      <c r="N51">
        <f t="shared" si="17"/>
        <v>0</v>
      </c>
    </row>
    <row r="52" spans="1:14" x14ac:dyDescent="0.25">
      <c r="A52" t="s">
        <v>20</v>
      </c>
      <c r="B52" t="s">
        <v>15</v>
      </c>
      <c r="C52" t="s">
        <v>2</v>
      </c>
      <c r="D52">
        <v>1.4394070797910199E-3</v>
      </c>
      <c r="E52">
        <v>9</v>
      </c>
      <c r="F52">
        <v>347</v>
      </c>
      <c r="G52" t="str">
        <f t="shared" si="11"/>
        <v>OOD</v>
      </c>
      <c r="H52">
        <f t="shared" si="12"/>
        <v>1</v>
      </c>
      <c r="J52">
        <f t="shared" si="13"/>
        <v>9</v>
      </c>
      <c r="K52">
        <f t="shared" si="14"/>
        <v>0</v>
      </c>
      <c r="L52">
        <f t="shared" si="15"/>
        <v>0</v>
      </c>
      <c r="M52">
        <f t="shared" si="16"/>
        <v>0</v>
      </c>
      <c r="N52">
        <f t="shared" si="17"/>
        <v>0</v>
      </c>
    </row>
    <row r="53" spans="1:14" x14ac:dyDescent="0.25">
      <c r="A53" t="s">
        <v>20</v>
      </c>
      <c r="B53" t="s">
        <v>15</v>
      </c>
      <c r="C53" t="s">
        <v>3</v>
      </c>
      <c r="D53">
        <v>1.4668522635474801E-3</v>
      </c>
      <c r="E53">
        <v>1</v>
      </c>
      <c r="F53">
        <v>347</v>
      </c>
      <c r="G53" t="str">
        <f t="shared" si="11"/>
        <v>OOD</v>
      </c>
      <c r="H53">
        <f t="shared" si="12"/>
        <v>1</v>
      </c>
      <c r="J53">
        <f t="shared" si="13"/>
        <v>1</v>
      </c>
      <c r="K53">
        <f t="shared" si="14"/>
        <v>0</v>
      </c>
      <c r="L53">
        <f t="shared" si="15"/>
        <v>0</v>
      </c>
      <c r="M53">
        <f t="shared" si="16"/>
        <v>0</v>
      </c>
      <c r="N53">
        <f t="shared" si="17"/>
        <v>0</v>
      </c>
    </row>
    <row r="54" spans="1:14" x14ac:dyDescent="0.25">
      <c r="A54" t="s">
        <v>20</v>
      </c>
      <c r="B54" t="s">
        <v>14</v>
      </c>
      <c r="C54" t="s">
        <v>0</v>
      </c>
      <c r="D54">
        <v>1.34016149856436E-3</v>
      </c>
      <c r="E54">
        <v>39</v>
      </c>
      <c r="F54">
        <v>105</v>
      </c>
      <c r="G54" t="str">
        <f t="shared" si="11"/>
        <v>OOD</v>
      </c>
      <c r="H54">
        <f t="shared" si="12"/>
        <v>1</v>
      </c>
      <c r="J54">
        <f t="shared" si="13"/>
        <v>39</v>
      </c>
      <c r="K54">
        <f t="shared" si="14"/>
        <v>0</v>
      </c>
      <c r="L54">
        <f t="shared" si="15"/>
        <v>0</v>
      </c>
      <c r="M54">
        <f t="shared" si="16"/>
        <v>0</v>
      </c>
      <c r="N54">
        <f t="shared" si="17"/>
        <v>0</v>
      </c>
    </row>
    <row r="55" spans="1:14" x14ac:dyDescent="0.25">
      <c r="A55" t="s">
        <v>20</v>
      </c>
      <c r="B55" t="s">
        <v>14</v>
      </c>
      <c r="C55" t="s">
        <v>7</v>
      </c>
      <c r="D55">
        <v>1.3622793069641499E-3</v>
      </c>
      <c r="E55">
        <v>14</v>
      </c>
      <c r="F55">
        <v>105</v>
      </c>
      <c r="G55" t="str">
        <f t="shared" si="11"/>
        <v>OOD</v>
      </c>
      <c r="H55">
        <f t="shared" si="12"/>
        <v>1</v>
      </c>
      <c r="J55">
        <f t="shared" si="13"/>
        <v>14</v>
      </c>
      <c r="K55">
        <f t="shared" si="14"/>
        <v>0</v>
      </c>
      <c r="L55">
        <f t="shared" si="15"/>
        <v>0</v>
      </c>
      <c r="M55">
        <f t="shared" si="16"/>
        <v>0</v>
      </c>
      <c r="N55">
        <f t="shared" si="17"/>
        <v>0</v>
      </c>
    </row>
    <row r="56" spans="1:14" x14ac:dyDescent="0.25">
      <c r="A56" t="s">
        <v>20</v>
      </c>
      <c r="B56" t="s">
        <v>14</v>
      </c>
      <c r="C56" t="s">
        <v>3</v>
      </c>
      <c r="D56">
        <v>1.3298967040758099E-3</v>
      </c>
      <c r="E56">
        <v>47</v>
      </c>
      <c r="F56">
        <v>105</v>
      </c>
      <c r="G56" t="str">
        <f t="shared" si="11"/>
        <v>OOD</v>
      </c>
      <c r="H56">
        <f t="shared" si="12"/>
        <v>1</v>
      </c>
      <c r="J56">
        <f t="shared" si="13"/>
        <v>47</v>
      </c>
      <c r="K56">
        <f t="shared" si="14"/>
        <v>0</v>
      </c>
      <c r="L56">
        <f t="shared" si="15"/>
        <v>0</v>
      </c>
      <c r="M56">
        <f t="shared" si="16"/>
        <v>0</v>
      </c>
      <c r="N56">
        <f t="shared" si="17"/>
        <v>0</v>
      </c>
    </row>
    <row r="57" spans="1:14" x14ac:dyDescent="0.25">
      <c r="A57" t="s">
        <v>20</v>
      </c>
      <c r="B57" t="s">
        <v>14</v>
      </c>
      <c r="C57" t="s">
        <v>4</v>
      </c>
      <c r="D57">
        <v>1.2434427044354299E-3</v>
      </c>
      <c r="E57">
        <v>2</v>
      </c>
      <c r="F57">
        <v>105</v>
      </c>
      <c r="G57" t="str">
        <f t="shared" si="11"/>
        <v>OOD</v>
      </c>
      <c r="H57">
        <f t="shared" si="12"/>
        <v>1</v>
      </c>
      <c r="J57">
        <f t="shared" si="13"/>
        <v>2</v>
      </c>
      <c r="K57">
        <f t="shared" si="14"/>
        <v>0</v>
      </c>
      <c r="L57">
        <f t="shared" si="15"/>
        <v>0</v>
      </c>
      <c r="M57">
        <f t="shared" si="16"/>
        <v>0</v>
      </c>
      <c r="N57">
        <f t="shared" si="17"/>
        <v>0</v>
      </c>
    </row>
    <row r="58" spans="1:14" x14ac:dyDescent="0.25">
      <c r="A58" t="s">
        <v>20</v>
      </c>
      <c r="B58" t="s">
        <v>14</v>
      </c>
      <c r="C58" t="s">
        <v>2</v>
      </c>
      <c r="D58">
        <v>1.3785603611419599E-3</v>
      </c>
      <c r="E58">
        <v>3</v>
      </c>
      <c r="F58">
        <v>105</v>
      </c>
      <c r="G58" t="str">
        <f t="shared" si="11"/>
        <v>OOD</v>
      </c>
      <c r="H58">
        <f t="shared" si="12"/>
        <v>1</v>
      </c>
      <c r="J58">
        <f t="shared" si="13"/>
        <v>3</v>
      </c>
      <c r="K58">
        <f t="shared" si="14"/>
        <v>0</v>
      </c>
      <c r="L58">
        <f t="shared" si="15"/>
        <v>0</v>
      </c>
      <c r="M58">
        <f t="shared" si="16"/>
        <v>0</v>
      </c>
      <c r="N58">
        <f t="shared" si="17"/>
        <v>0</v>
      </c>
    </row>
    <row r="60" spans="1:14" x14ac:dyDescent="0.25">
      <c r="J60">
        <f>SUM(J2:J58)</f>
        <v>1635</v>
      </c>
      <c r="K60">
        <f>SUM(K2:K58)</f>
        <v>0</v>
      </c>
      <c r="L60">
        <f>SUM(L2:L58)</f>
        <v>640</v>
      </c>
      <c r="M60">
        <f>SUM(M2:M58)</f>
        <v>0</v>
      </c>
      <c r="N60">
        <f>SUM(N2:N58)</f>
        <v>615</v>
      </c>
    </row>
  </sheetData>
  <conditionalFormatting sqref="X9:X22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{8E421D15-020F-4CA5-8067-84A6E5DA1930}</x14:id>
        </ext>
      </extLst>
    </cfRule>
  </conditionalFormatting>
  <conditionalFormatting sqref="Y9:Y22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{F5CD0167-B392-4EF0-8A29-B5DD11FF6BC7}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1">
                <anchor moveWithCells="1">
                  <from>
                    <xdr:col>14</xdr:col>
                    <xdr:colOff>1019175</xdr:colOff>
                    <xdr:row>1</xdr:row>
                    <xdr:rowOff>171450</xdr:rowOff>
                  </from>
                  <to>
                    <xdr:col>14</xdr:col>
                    <xdr:colOff>1543050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E421D15-020F-4CA5-8067-84A6E5DA19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X9:X22</xm:sqref>
        </x14:conditionalFormatting>
        <x14:conditionalFormatting xmlns:xm="http://schemas.microsoft.com/office/excel/2006/main">
          <x14:cfRule type="dataBar" id="{F5CD0167-B392-4EF0-8A29-B5DD11FF6BC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Y9:Y22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FDBFB-B685-45F4-AD8E-FEB583A38599}">
  <sheetPr codeName="Sheet4"/>
  <dimension ref="A1:Z52"/>
  <sheetViews>
    <sheetView tabSelected="1" workbookViewId="0">
      <selection activeCell="O21" sqref="O21"/>
    </sheetView>
  </sheetViews>
  <sheetFormatPr defaultRowHeight="15" x14ac:dyDescent="0.25"/>
  <cols>
    <col min="2" max="3" width="10.5703125" bestFit="1" customWidth="1"/>
    <col min="4" max="4" width="12" bestFit="1" customWidth="1"/>
    <col min="5" max="5" width="8.5703125" bestFit="1" customWidth="1"/>
    <col min="6" max="6" width="9.7109375" bestFit="1" customWidth="1"/>
    <col min="8" max="14" width="0" hidden="1" customWidth="1"/>
    <col min="15" max="15" width="37.85546875" customWidth="1"/>
    <col min="17" max="17" width="10.5703125" bestFit="1" customWidth="1"/>
    <col min="20" max="20" width="9.7109375" bestFit="1" customWidth="1"/>
    <col min="24" max="24" width="10.42578125" bestFit="1" customWidth="1"/>
  </cols>
  <sheetData>
    <row r="1" spans="1:26" x14ac:dyDescent="0.25">
      <c r="A1" t="s">
        <v>19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J1">
        <v>1</v>
      </c>
      <c r="K1">
        <v>2</v>
      </c>
      <c r="L1">
        <v>3</v>
      </c>
      <c r="M1">
        <v>4</v>
      </c>
      <c r="N1">
        <v>5</v>
      </c>
      <c r="O1" s="3" t="s">
        <v>28</v>
      </c>
      <c r="P1" t="s">
        <v>21</v>
      </c>
      <c r="R1" t="s">
        <v>22</v>
      </c>
      <c r="S1" t="b">
        <v>1</v>
      </c>
      <c r="T1" t="s">
        <v>23</v>
      </c>
      <c r="W1" t="s">
        <v>26</v>
      </c>
      <c r="X1" t="s">
        <v>27</v>
      </c>
    </row>
    <row r="2" spans="1:26" x14ac:dyDescent="0.25">
      <c r="A2" t="s">
        <v>19</v>
      </c>
      <c r="B2" t="s">
        <v>8</v>
      </c>
      <c r="C2" t="s">
        <v>8</v>
      </c>
      <c r="D2">
        <v>1.46184770832613E-3</v>
      </c>
      <c r="E2">
        <v>298</v>
      </c>
      <c r="F2">
        <v>390</v>
      </c>
      <c r="G2" t="str">
        <f t="shared" ref="G2:G33" si="0">IF(D2&gt;=$P$2,"ID","OOD")</f>
        <v>OOD</v>
      </c>
      <c r="H2">
        <f t="shared" ref="H2:H33" si="1">IF(AND(A2="OOD",G2="OOD"),1,IF(AND(A2="OOD",G2="ID"),2,IF(AND(A2="ID",G2="OOD"),3,IF(AND(A2="ID",G2="ID",B2&lt;&gt;C2),4,IF(AND(A2="ID",G2="ID",B2=C2),5,"!!!")))))</f>
        <v>3</v>
      </c>
      <c r="I2">
        <v>1</v>
      </c>
      <c r="J2">
        <f t="shared" ref="J2:J33" si="2">IF($H2=$J$1,$E2,0)</f>
        <v>0</v>
      </c>
      <c r="K2">
        <f t="shared" ref="K2:K33" si="3">IF($H2=$K$1,$E2,0)</f>
        <v>0</v>
      </c>
      <c r="L2">
        <f t="shared" ref="L2:L33" si="4">IF($H2=$L$1,$E2,0)</f>
        <v>298</v>
      </c>
      <c r="M2">
        <f t="shared" ref="M2:M33" si="5">IF($H2=$M$1,$E2,0)</f>
        <v>0</v>
      </c>
      <c r="N2">
        <f t="shared" ref="N2:N33" si="6">IF($H2=$N$1,$E2,0)</f>
        <v>0</v>
      </c>
      <c r="P2">
        <v>1.5E-3</v>
      </c>
      <c r="R2">
        <v>1</v>
      </c>
      <c r="S2" t="s">
        <v>20</v>
      </c>
      <c r="T2" t="s">
        <v>20</v>
      </c>
      <c r="U2" s="1">
        <f>J52</f>
        <v>2101</v>
      </c>
      <c r="W2">
        <f>SUM(U2,U6)</f>
        <v>2350</v>
      </c>
      <c r="X2">
        <f>SUM(U3:U5)</f>
        <v>540</v>
      </c>
    </row>
    <row r="3" spans="1:26" x14ac:dyDescent="0.25">
      <c r="A3" t="s">
        <v>19</v>
      </c>
      <c r="B3" t="s">
        <v>8</v>
      </c>
      <c r="C3" t="s">
        <v>1</v>
      </c>
      <c r="D3">
        <v>1.38513123898138E-3</v>
      </c>
      <c r="E3">
        <v>43</v>
      </c>
      <c r="F3">
        <v>390</v>
      </c>
      <c r="G3" t="str">
        <f t="shared" si="0"/>
        <v>OOD</v>
      </c>
      <c r="H3">
        <f t="shared" si="1"/>
        <v>3</v>
      </c>
      <c r="J3">
        <f t="shared" si="2"/>
        <v>0</v>
      </c>
      <c r="K3">
        <f t="shared" si="3"/>
        <v>0</v>
      </c>
      <c r="L3">
        <f t="shared" si="4"/>
        <v>43</v>
      </c>
      <c r="M3">
        <f t="shared" si="5"/>
        <v>0</v>
      </c>
      <c r="N3">
        <f t="shared" si="6"/>
        <v>0</v>
      </c>
      <c r="R3">
        <v>2</v>
      </c>
      <c r="S3" t="s">
        <v>20</v>
      </c>
      <c r="T3" t="s">
        <v>19</v>
      </c>
      <c r="U3" s="2">
        <f>K52</f>
        <v>1</v>
      </c>
    </row>
    <row r="4" spans="1:26" x14ac:dyDescent="0.25">
      <c r="A4" t="s">
        <v>19</v>
      </c>
      <c r="B4" t="s">
        <v>8</v>
      </c>
      <c r="C4" t="s">
        <v>5</v>
      </c>
      <c r="D4">
        <v>1.4231778534493601E-3</v>
      </c>
      <c r="E4">
        <v>46</v>
      </c>
      <c r="F4">
        <v>390</v>
      </c>
      <c r="G4" t="str">
        <f t="shared" si="0"/>
        <v>OOD</v>
      </c>
      <c r="H4">
        <f t="shared" si="1"/>
        <v>3</v>
      </c>
      <c r="J4">
        <f t="shared" si="2"/>
        <v>0</v>
      </c>
      <c r="K4">
        <f t="shared" si="3"/>
        <v>0</v>
      </c>
      <c r="L4">
        <f t="shared" si="4"/>
        <v>46</v>
      </c>
      <c r="M4">
        <f t="shared" si="5"/>
        <v>0</v>
      </c>
      <c r="N4">
        <f t="shared" si="6"/>
        <v>0</v>
      </c>
      <c r="R4">
        <v>3</v>
      </c>
      <c r="S4" t="s">
        <v>19</v>
      </c>
      <c r="T4" t="s">
        <v>20</v>
      </c>
      <c r="U4" s="2">
        <f>L52</f>
        <v>534</v>
      </c>
    </row>
    <row r="5" spans="1:26" x14ac:dyDescent="0.25">
      <c r="A5" t="s">
        <v>19</v>
      </c>
      <c r="B5" t="s">
        <v>8</v>
      </c>
      <c r="C5" t="s">
        <v>6</v>
      </c>
      <c r="D5">
        <v>1.2692325205231701E-3</v>
      </c>
      <c r="E5">
        <v>3</v>
      </c>
      <c r="F5">
        <v>390</v>
      </c>
      <c r="G5" t="str">
        <f t="shared" si="0"/>
        <v>OOD</v>
      </c>
      <c r="H5">
        <f t="shared" si="1"/>
        <v>3</v>
      </c>
      <c r="J5">
        <f t="shared" si="2"/>
        <v>0</v>
      </c>
      <c r="K5">
        <f t="shared" si="3"/>
        <v>0</v>
      </c>
      <c r="L5">
        <f t="shared" si="4"/>
        <v>3</v>
      </c>
      <c r="M5">
        <f t="shared" si="5"/>
        <v>0</v>
      </c>
      <c r="N5">
        <f t="shared" si="6"/>
        <v>0</v>
      </c>
      <c r="R5">
        <v>4</v>
      </c>
      <c r="S5" t="s">
        <v>19</v>
      </c>
      <c r="T5" t="s">
        <v>24</v>
      </c>
      <c r="U5" s="2">
        <f>M52</f>
        <v>5</v>
      </c>
    </row>
    <row r="6" spans="1:26" x14ac:dyDescent="0.25">
      <c r="A6" t="s">
        <v>19</v>
      </c>
      <c r="B6" t="s">
        <v>6</v>
      </c>
      <c r="C6" t="s">
        <v>6</v>
      </c>
      <c r="D6">
        <v>1.5725816864730899E-3</v>
      </c>
      <c r="E6">
        <v>168</v>
      </c>
      <c r="F6">
        <v>181</v>
      </c>
      <c r="G6" t="str">
        <f t="shared" si="0"/>
        <v>ID</v>
      </c>
      <c r="H6">
        <f t="shared" si="1"/>
        <v>5</v>
      </c>
      <c r="J6">
        <f t="shared" si="2"/>
        <v>0</v>
      </c>
      <c r="K6">
        <f t="shared" si="3"/>
        <v>0</v>
      </c>
      <c r="L6">
        <f t="shared" si="4"/>
        <v>0</v>
      </c>
      <c r="M6">
        <f t="shared" si="5"/>
        <v>0</v>
      </c>
      <c r="N6">
        <f t="shared" si="6"/>
        <v>168</v>
      </c>
      <c r="R6">
        <v>5</v>
      </c>
      <c r="S6" t="s">
        <v>19</v>
      </c>
      <c r="T6" t="s">
        <v>25</v>
      </c>
      <c r="U6" s="1">
        <f>N52</f>
        <v>249</v>
      </c>
    </row>
    <row r="7" spans="1:26" x14ac:dyDescent="0.25">
      <c r="A7" t="s">
        <v>19</v>
      </c>
      <c r="B7" t="s">
        <v>6</v>
      </c>
      <c r="C7" t="s">
        <v>1</v>
      </c>
      <c r="D7">
        <v>1.4238192234188301E-3</v>
      </c>
      <c r="E7">
        <v>9</v>
      </c>
      <c r="F7">
        <v>181</v>
      </c>
      <c r="G7" t="str">
        <f t="shared" si="0"/>
        <v>OOD</v>
      </c>
      <c r="H7">
        <f t="shared" si="1"/>
        <v>3</v>
      </c>
      <c r="J7">
        <f t="shared" si="2"/>
        <v>0</v>
      </c>
      <c r="K7">
        <f t="shared" si="3"/>
        <v>0</v>
      </c>
      <c r="L7">
        <f t="shared" si="4"/>
        <v>9</v>
      </c>
      <c r="M7">
        <f t="shared" si="5"/>
        <v>0</v>
      </c>
      <c r="N7">
        <f t="shared" si="6"/>
        <v>0</v>
      </c>
    </row>
    <row r="8" spans="1:26" x14ac:dyDescent="0.25">
      <c r="A8" t="s">
        <v>19</v>
      </c>
      <c r="B8" t="s">
        <v>6</v>
      </c>
      <c r="C8" t="s">
        <v>8</v>
      </c>
      <c r="D8">
        <v>1.53734459308907E-3</v>
      </c>
      <c r="E8">
        <v>4</v>
      </c>
      <c r="F8">
        <v>181</v>
      </c>
      <c r="G8" t="str">
        <f t="shared" si="0"/>
        <v>ID</v>
      </c>
      <c r="H8">
        <f t="shared" si="1"/>
        <v>4</v>
      </c>
      <c r="J8">
        <f t="shared" si="2"/>
        <v>0</v>
      </c>
      <c r="K8">
        <f t="shared" si="3"/>
        <v>0</v>
      </c>
      <c r="L8">
        <f t="shared" si="4"/>
        <v>0</v>
      </c>
      <c r="M8">
        <f t="shared" si="5"/>
        <v>4</v>
      </c>
      <c r="N8">
        <f t="shared" si="6"/>
        <v>0</v>
      </c>
      <c r="R8">
        <v>1</v>
      </c>
      <c r="S8">
        <v>2</v>
      </c>
      <c r="T8">
        <v>3</v>
      </c>
      <c r="U8">
        <v>4</v>
      </c>
      <c r="V8">
        <v>5</v>
      </c>
      <c r="X8" t="s">
        <v>26</v>
      </c>
      <c r="Y8" t="s">
        <v>27</v>
      </c>
    </row>
    <row r="9" spans="1:26" x14ac:dyDescent="0.25">
      <c r="A9" t="s">
        <v>19</v>
      </c>
      <c r="B9" t="s">
        <v>5</v>
      </c>
      <c r="C9" t="s">
        <v>5</v>
      </c>
      <c r="D9">
        <v>1.45842201944271E-3</v>
      </c>
      <c r="E9">
        <v>110</v>
      </c>
      <c r="F9">
        <v>135</v>
      </c>
      <c r="G9" t="str">
        <f t="shared" si="0"/>
        <v>OOD</v>
      </c>
      <c r="H9">
        <f t="shared" si="1"/>
        <v>3</v>
      </c>
      <c r="J9">
        <f t="shared" si="2"/>
        <v>0</v>
      </c>
      <c r="K9">
        <f t="shared" si="3"/>
        <v>0</v>
      </c>
      <c r="L9">
        <f t="shared" si="4"/>
        <v>110</v>
      </c>
      <c r="M9">
        <f t="shared" si="5"/>
        <v>0</v>
      </c>
      <c r="N9">
        <f t="shared" si="6"/>
        <v>0</v>
      </c>
      <c r="Q9" t="s">
        <v>3</v>
      </c>
      <c r="R9">
        <v>395</v>
      </c>
      <c r="S9">
        <v>0</v>
      </c>
      <c r="T9">
        <v>0</v>
      </c>
      <c r="U9">
        <v>0</v>
      </c>
      <c r="V9">
        <v>0</v>
      </c>
      <c r="X9">
        <f>SUM(R9,V9)/Z9</f>
        <v>1</v>
      </c>
      <c r="Y9">
        <f>SUM(S9:U9)/Z9</f>
        <v>0</v>
      </c>
      <c r="Z9">
        <f>SUM(R9:V9)</f>
        <v>395</v>
      </c>
    </row>
    <row r="10" spans="1:26" x14ac:dyDescent="0.25">
      <c r="A10" t="s">
        <v>19</v>
      </c>
      <c r="B10" t="s">
        <v>5</v>
      </c>
      <c r="C10" t="s">
        <v>8</v>
      </c>
      <c r="D10">
        <v>1.4499824552331099E-3</v>
      </c>
      <c r="E10">
        <v>20</v>
      </c>
      <c r="F10">
        <v>135</v>
      </c>
      <c r="G10" t="str">
        <f t="shared" si="0"/>
        <v>OOD</v>
      </c>
      <c r="H10">
        <f t="shared" si="1"/>
        <v>3</v>
      </c>
      <c r="J10">
        <f t="shared" si="2"/>
        <v>0</v>
      </c>
      <c r="K10">
        <f t="shared" si="3"/>
        <v>0</v>
      </c>
      <c r="L10">
        <f t="shared" si="4"/>
        <v>20</v>
      </c>
      <c r="M10">
        <f t="shared" si="5"/>
        <v>0</v>
      </c>
      <c r="N10">
        <f t="shared" si="6"/>
        <v>0</v>
      </c>
      <c r="Q10" t="s">
        <v>7</v>
      </c>
      <c r="R10">
        <v>221</v>
      </c>
      <c r="S10">
        <v>0</v>
      </c>
      <c r="T10">
        <v>0</v>
      </c>
      <c r="U10">
        <v>0</v>
      </c>
      <c r="V10">
        <v>0</v>
      </c>
      <c r="X10">
        <f t="shared" ref="X10:X22" si="7">SUM(R10,V10)/Z10</f>
        <v>1</v>
      </c>
      <c r="Y10">
        <f t="shared" ref="Y10:Y22" si="8">SUM(S10:U10)/Z10</f>
        <v>0</v>
      </c>
      <c r="Z10">
        <f t="shared" ref="Z10:Z22" si="9">SUM(R10:V10)</f>
        <v>221</v>
      </c>
    </row>
    <row r="11" spans="1:26" x14ac:dyDescent="0.25">
      <c r="A11" t="s">
        <v>19</v>
      </c>
      <c r="B11" t="s">
        <v>5</v>
      </c>
      <c r="C11" t="s">
        <v>1</v>
      </c>
      <c r="D11">
        <v>1.26813392853364E-3</v>
      </c>
      <c r="E11">
        <v>2</v>
      </c>
      <c r="F11">
        <v>135</v>
      </c>
      <c r="G11" t="str">
        <f t="shared" si="0"/>
        <v>OOD</v>
      </c>
      <c r="H11">
        <f t="shared" si="1"/>
        <v>3</v>
      </c>
      <c r="J11">
        <f t="shared" si="2"/>
        <v>0</v>
      </c>
      <c r="K11">
        <f t="shared" si="3"/>
        <v>0</v>
      </c>
      <c r="L11">
        <f t="shared" si="4"/>
        <v>2</v>
      </c>
      <c r="M11">
        <f t="shared" si="5"/>
        <v>0</v>
      </c>
      <c r="N11">
        <f t="shared" si="6"/>
        <v>0</v>
      </c>
      <c r="Q11" t="s">
        <v>0</v>
      </c>
      <c r="R11">
        <v>267</v>
      </c>
      <c r="S11">
        <v>0</v>
      </c>
      <c r="T11">
        <v>0</v>
      </c>
      <c r="U11">
        <v>0</v>
      </c>
      <c r="V11">
        <v>0</v>
      </c>
      <c r="X11">
        <f t="shared" si="7"/>
        <v>1</v>
      </c>
      <c r="Y11">
        <f t="shared" si="8"/>
        <v>0</v>
      </c>
      <c r="Z11">
        <f t="shared" si="9"/>
        <v>267</v>
      </c>
    </row>
    <row r="12" spans="1:26" x14ac:dyDescent="0.25">
      <c r="A12" t="s">
        <v>19</v>
      </c>
      <c r="B12" t="s">
        <v>5</v>
      </c>
      <c r="C12" t="s">
        <v>6</v>
      </c>
      <c r="D12">
        <v>1.2900890627255E-3</v>
      </c>
      <c r="E12">
        <v>3</v>
      </c>
      <c r="F12">
        <v>135</v>
      </c>
      <c r="G12" t="str">
        <f t="shared" si="0"/>
        <v>OOD</v>
      </c>
      <c r="H12">
        <f t="shared" si="1"/>
        <v>3</v>
      </c>
      <c r="J12">
        <f t="shared" si="2"/>
        <v>0</v>
      </c>
      <c r="K12">
        <f t="shared" si="3"/>
        <v>0</v>
      </c>
      <c r="L12">
        <f t="shared" si="4"/>
        <v>3</v>
      </c>
      <c r="M12">
        <f t="shared" si="5"/>
        <v>0</v>
      </c>
      <c r="N12">
        <f t="shared" si="6"/>
        <v>0</v>
      </c>
      <c r="Q12" t="s">
        <v>2</v>
      </c>
      <c r="R12">
        <v>118</v>
      </c>
      <c r="S12">
        <v>0</v>
      </c>
      <c r="T12">
        <v>0</v>
      </c>
      <c r="U12">
        <v>0</v>
      </c>
      <c r="V12">
        <v>0</v>
      </c>
      <c r="X12">
        <f t="shared" si="7"/>
        <v>1</v>
      </c>
      <c r="Y12">
        <f t="shared" si="8"/>
        <v>0</v>
      </c>
      <c r="Z12">
        <f t="shared" si="9"/>
        <v>118</v>
      </c>
    </row>
    <row r="13" spans="1:26" x14ac:dyDescent="0.25">
      <c r="A13" t="s">
        <v>19</v>
      </c>
      <c r="B13" t="s">
        <v>1</v>
      </c>
      <c r="C13" t="s">
        <v>1</v>
      </c>
      <c r="D13">
        <v>1.62225534397832E-3</v>
      </c>
      <c r="E13">
        <v>81</v>
      </c>
      <c r="F13">
        <v>82</v>
      </c>
      <c r="G13" t="str">
        <f t="shared" si="0"/>
        <v>ID</v>
      </c>
      <c r="H13">
        <f t="shared" si="1"/>
        <v>5</v>
      </c>
      <c r="J13">
        <f t="shared" si="2"/>
        <v>0</v>
      </c>
      <c r="K13">
        <f t="shared" si="3"/>
        <v>0</v>
      </c>
      <c r="L13">
        <f t="shared" si="4"/>
        <v>0</v>
      </c>
      <c r="M13">
        <f t="shared" si="5"/>
        <v>0</v>
      </c>
      <c r="N13">
        <f t="shared" si="6"/>
        <v>81</v>
      </c>
      <c r="Q13" t="s">
        <v>4</v>
      </c>
      <c r="R13">
        <v>253</v>
      </c>
      <c r="S13">
        <v>1</v>
      </c>
      <c r="T13">
        <v>0</v>
      </c>
      <c r="U13">
        <v>0</v>
      </c>
      <c r="V13">
        <v>0</v>
      </c>
      <c r="X13">
        <f t="shared" si="7"/>
        <v>0.99606299212598426</v>
      </c>
      <c r="Y13">
        <f t="shared" si="8"/>
        <v>3.937007874015748E-3</v>
      </c>
      <c r="Z13">
        <f t="shared" si="9"/>
        <v>254</v>
      </c>
    </row>
    <row r="14" spans="1:26" x14ac:dyDescent="0.25">
      <c r="A14" t="s">
        <v>19</v>
      </c>
      <c r="B14" t="s">
        <v>1</v>
      </c>
      <c r="C14" t="s">
        <v>6</v>
      </c>
      <c r="D14">
        <v>1.52499147225171E-3</v>
      </c>
      <c r="E14">
        <v>1</v>
      </c>
      <c r="F14">
        <v>82</v>
      </c>
      <c r="G14" t="str">
        <f t="shared" si="0"/>
        <v>ID</v>
      </c>
      <c r="H14">
        <f t="shared" si="1"/>
        <v>4</v>
      </c>
      <c r="J14">
        <f t="shared" si="2"/>
        <v>0</v>
      </c>
      <c r="K14">
        <f t="shared" si="3"/>
        <v>0</v>
      </c>
      <c r="L14">
        <f t="shared" si="4"/>
        <v>0</v>
      </c>
      <c r="M14">
        <f t="shared" si="5"/>
        <v>1</v>
      </c>
      <c r="N14">
        <f t="shared" si="6"/>
        <v>0</v>
      </c>
      <c r="Q14" t="s">
        <v>18</v>
      </c>
      <c r="R14">
        <v>77</v>
      </c>
      <c r="S14">
        <v>0</v>
      </c>
      <c r="T14">
        <v>0</v>
      </c>
      <c r="U14">
        <v>0</v>
      </c>
      <c r="V14">
        <v>0</v>
      </c>
      <c r="X14">
        <f t="shared" si="7"/>
        <v>1</v>
      </c>
      <c r="Y14">
        <f t="shared" si="8"/>
        <v>0</v>
      </c>
      <c r="Z14">
        <f t="shared" si="9"/>
        <v>77</v>
      </c>
    </row>
    <row r="15" spans="1:26" x14ac:dyDescent="0.25">
      <c r="A15" t="s">
        <v>20</v>
      </c>
      <c r="B15" t="s">
        <v>3</v>
      </c>
      <c r="C15" t="s">
        <v>1</v>
      </c>
      <c r="D15">
        <v>1.4284332497001399E-3</v>
      </c>
      <c r="E15">
        <v>212</v>
      </c>
      <c r="F15">
        <v>395</v>
      </c>
      <c r="G15" t="str">
        <f t="shared" si="0"/>
        <v>OOD</v>
      </c>
      <c r="H15">
        <f t="shared" si="1"/>
        <v>1</v>
      </c>
      <c r="J15">
        <f t="shared" si="2"/>
        <v>212</v>
      </c>
      <c r="K15">
        <f t="shared" si="3"/>
        <v>0</v>
      </c>
      <c r="L15">
        <f t="shared" si="4"/>
        <v>0</v>
      </c>
      <c r="M15">
        <f t="shared" si="5"/>
        <v>0</v>
      </c>
      <c r="N15">
        <f t="shared" si="6"/>
        <v>0</v>
      </c>
      <c r="Q15" t="s">
        <v>17</v>
      </c>
      <c r="R15">
        <v>201</v>
      </c>
      <c r="S15">
        <v>0</v>
      </c>
      <c r="T15">
        <v>0</v>
      </c>
      <c r="U15">
        <v>0</v>
      </c>
      <c r="V15">
        <v>0</v>
      </c>
      <c r="X15">
        <f t="shared" si="7"/>
        <v>1</v>
      </c>
      <c r="Y15">
        <f t="shared" si="8"/>
        <v>0</v>
      </c>
      <c r="Z15">
        <f t="shared" si="9"/>
        <v>201</v>
      </c>
    </row>
    <row r="16" spans="1:26" x14ac:dyDescent="0.25">
      <c r="A16" t="s">
        <v>20</v>
      </c>
      <c r="B16" t="s">
        <v>3</v>
      </c>
      <c r="C16" t="s">
        <v>8</v>
      </c>
      <c r="D16">
        <v>1.4323444317348899E-3</v>
      </c>
      <c r="E16">
        <v>110</v>
      </c>
      <c r="F16">
        <v>395</v>
      </c>
      <c r="G16" t="str">
        <f t="shared" si="0"/>
        <v>OOD</v>
      </c>
      <c r="H16">
        <f t="shared" si="1"/>
        <v>1</v>
      </c>
      <c r="J16">
        <f t="shared" si="2"/>
        <v>110</v>
      </c>
      <c r="K16">
        <f t="shared" si="3"/>
        <v>0</v>
      </c>
      <c r="L16">
        <f t="shared" si="4"/>
        <v>0</v>
      </c>
      <c r="M16">
        <f t="shared" si="5"/>
        <v>0</v>
      </c>
      <c r="N16">
        <f t="shared" si="6"/>
        <v>0</v>
      </c>
      <c r="Q16" t="s">
        <v>16</v>
      </c>
      <c r="R16">
        <v>117</v>
      </c>
      <c r="S16">
        <v>0</v>
      </c>
      <c r="T16">
        <v>0</v>
      </c>
      <c r="U16">
        <v>0</v>
      </c>
      <c r="V16">
        <v>0</v>
      </c>
      <c r="X16">
        <f t="shared" si="7"/>
        <v>1</v>
      </c>
      <c r="Y16">
        <f t="shared" si="8"/>
        <v>0</v>
      </c>
      <c r="Z16">
        <f t="shared" si="9"/>
        <v>117</v>
      </c>
    </row>
    <row r="17" spans="1:26" x14ac:dyDescent="0.25">
      <c r="A17" t="s">
        <v>20</v>
      </c>
      <c r="B17" t="s">
        <v>3</v>
      </c>
      <c r="C17" t="s">
        <v>6</v>
      </c>
      <c r="D17">
        <v>1.4424918917939E-3</v>
      </c>
      <c r="E17">
        <v>4</v>
      </c>
      <c r="F17">
        <v>395</v>
      </c>
      <c r="G17" t="str">
        <f t="shared" si="0"/>
        <v>OOD</v>
      </c>
      <c r="H17">
        <f t="shared" si="1"/>
        <v>1</v>
      </c>
      <c r="J17">
        <f t="shared" si="2"/>
        <v>4</v>
      </c>
      <c r="K17">
        <f t="shared" si="3"/>
        <v>0</v>
      </c>
      <c r="L17">
        <f t="shared" si="4"/>
        <v>0</v>
      </c>
      <c r="M17">
        <f t="shared" si="5"/>
        <v>0</v>
      </c>
      <c r="N17">
        <f t="shared" si="6"/>
        <v>0</v>
      </c>
      <c r="Q17" t="s">
        <v>15</v>
      </c>
      <c r="R17">
        <v>347</v>
      </c>
      <c r="S17">
        <v>0</v>
      </c>
      <c r="T17">
        <v>0</v>
      </c>
      <c r="U17">
        <v>0</v>
      </c>
      <c r="V17">
        <v>0</v>
      </c>
      <c r="X17">
        <f t="shared" si="7"/>
        <v>1</v>
      </c>
      <c r="Y17">
        <f t="shared" si="8"/>
        <v>0</v>
      </c>
      <c r="Z17">
        <f t="shared" si="9"/>
        <v>347</v>
      </c>
    </row>
    <row r="18" spans="1:26" x14ac:dyDescent="0.25">
      <c r="A18" t="s">
        <v>20</v>
      </c>
      <c r="B18" t="s">
        <v>3</v>
      </c>
      <c r="C18" t="s">
        <v>5</v>
      </c>
      <c r="D18">
        <v>1.4030421000864801E-3</v>
      </c>
      <c r="E18">
        <v>69</v>
      </c>
      <c r="F18">
        <v>395</v>
      </c>
      <c r="G18" t="str">
        <f t="shared" si="0"/>
        <v>OOD</v>
      </c>
      <c r="H18">
        <f t="shared" si="1"/>
        <v>1</v>
      </c>
      <c r="J18">
        <f t="shared" si="2"/>
        <v>69</v>
      </c>
      <c r="K18">
        <f t="shared" si="3"/>
        <v>0</v>
      </c>
      <c r="L18">
        <f t="shared" si="4"/>
        <v>0</v>
      </c>
      <c r="M18">
        <f t="shared" si="5"/>
        <v>0</v>
      </c>
      <c r="N18">
        <f t="shared" si="6"/>
        <v>0</v>
      </c>
      <c r="Q18" t="s">
        <v>14</v>
      </c>
      <c r="R18">
        <v>105</v>
      </c>
      <c r="S18">
        <v>0</v>
      </c>
      <c r="T18">
        <v>0</v>
      </c>
      <c r="U18">
        <v>0</v>
      </c>
      <c r="V18">
        <v>0</v>
      </c>
      <c r="X18">
        <f t="shared" si="7"/>
        <v>1</v>
      </c>
      <c r="Y18">
        <f t="shared" si="8"/>
        <v>0</v>
      </c>
      <c r="Z18">
        <f t="shared" si="9"/>
        <v>105</v>
      </c>
    </row>
    <row r="19" spans="1:26" x14ac:dyDescent="0.25">
      <c r="A19" t="s">
        <v>20</v>
      </c>
      <c r="B19" t="s">
        <v>7</v>
      </c>
      <c r="C19" t="s">
        <v>1</v>
      </c>
      <c r="D19">
        <v>1.27600554268398E-3</v>
      </c>
      <c r="E19">
        <v>73</v>
      </c>
      <c r="F19">
        <v>221</v>
      </c>
      <c r="G19" t="str">
        <f t="shared" si="0"/>
        <v>OOD</v>
      </c>
      <c r="H19">
        <f t="shared" si="1"/>
        <v>1</v>
      </c>
      <c r="J19">
        <f t="shared" si="2"/>
        <v>73</v>
      </c>
      <c r="K19">
        <f t="shared" si="3"/>
        <v>0</v>
      </c>
      <c r="L19">
        <f t="shared" si="4"/>
        <v>0</v>
      </c>
      <c r="M19">
        <f t="shared" si="5"/>
        <v>0</v>
      </c>
      <c r="N19">
        <f t="shared" si="6"/>
        <v>0</v>
      </c>
      <c r="Q19" t="s">
        <v>8</v>
      </c>
      <c r="R19">
        <v>0</v>
      </c>
      <c r="S19">
        <v>0</v>
      </c>
      <c r="T19">
        <v>390</v>
      </c>
      <c r="U19">
        <v>0</v>
      </c>
      <c r="V19">
        <v>0</v>
      </c>
      <c r="X19">
        <f t="shared" si="7"/>
        <v>0</v>
      </c>
      <c r="Y19">
        <f t="shared" si="8"/>
        <v>1</v>
      </c>
      <c r="Z19">
        <f t="shared" si="9"/>
        <v>390</v>
      </c>
    </row>
    <row r="20" spans="1:26" x14ac:dyDescent="0.25">
      <c r="A20" t="s">
        <v>20</v>
      </c>
      <c r="B20" t="s">
        <v>7</v>
      </c>
      <c r="C20" t="s">
        <v>6</v>
      </c>
      <c r="D20">
        <v>1.26548448172049E-3</v>
      </c>
      <c r="E20">
        <v>147</v>
      </c>
      <c r="F20">
        <v>221</v>
      </c>
      <c r="G20" t="str">
        <f t="shared" si="0"/>
        <v>OOD</v>
      </c>
      <c r="H20">
        <f t="shared" si="1"/>
        <v>1</v>
      </c>
      <c r="J20">
        <f t="shared" si="2"/>
        <v>147</v>
      </c>
      <c r="K20">
        <f t="shared" si="3"/>
        <v>0</v>
      </c>
      <c r="L20">
        <f t="shared" si="4"/>
        <v>0</v>
      </c>
      <c r="M20">
        <f t="shared" si="5"/>
        <v>0</v>
      </c>
      <c r="N20">
        <f t="shared" si="6"/>
        <v>0</v>
      </c>
      <c r="Q20" t="s">
        <v>6</v>
      </c>
      <c r="R20">
        <v>0</v>
      </c>
      <c r="S20">
        <v>0</v>
      </c>
      <c r="T20">
        <v>9</v>
      </c>
      <c r="U20">
        <v>4</v>
      </c>
      <c r="V20">
        <v>168</v>
      </c>
      <c r="X20">
        <f t="shared" si="7"/>
        <v>0.92817679558011046</v>
      </c>
      <c r="Y20">
        <f t="shared" si="8"/>
        <v>7.18232044198895E-2</v>
      </c>
      <c r="Z20">
        <f t="shared" si="9"/>
        <v>181</v>
      </c>
    </row>
    <row r="21" spans="1:26" x14ac:dyDescent="0.25">
      <c r="A21" t="s">
        <v>20</v>
      </c>
      <c r="B21" t="s">
        <v>7</v>
      </c>
      <c r="C21" t="s">
        <v>5</v>
      </c>
      <c r="D21">
        <v>1.3059258926659801E-3</v>
      </c>
      <c r="E21">
        <v>1</v>
      </c>
      <c r="F21">
        <v>221</v>
      </c>
      <c r="G21" t="str">
        <f t="shared" si="0"/>
        <v>OOD</v>
      </c>
      <c r="H21">
        <f t="shared" si="1"/>
        <v>1</v>
      </c>
      <c r="J21">
        <f t="shared" si="2"/>
        <v>1</v>
      </c>
      <c r="K21">
        <f t="shared" si="3"/>
        <v>0</v>
      </c>
      <c r="L21">
        <f t="shared" si="4"/>
        <v>0</v>
      </c>
      <c r="M21">
        <f t="shared" si="5"/>
        <v>0</v>
      </c>
      <c r="N21">
        <f t="shared" si="6"/>
        <v>0</v>
      </c>
      <c r="Q21" t="s">
        <v>5</v>
      </c>
      <c r="R21">
        <v>0</v>
      </c>
      <c r="S21">
        <v>0</v>
      </c>
      <c r="T21">
        <v>135</v>
      </c>
      <c r="U21">
        <v>0</v>
      </c>
      <c r="V21">
        <v>0</v>
      </c>
      <c r="X21">
        <f t="shared" si="7"/>
        <v>0</v>
      </c>
      <c r="Y21">
        <f t="shared" si="8"/>
        <v>1</v>
      </c>
      <c r="Z21">
        <f t="shared" si="9"/>
        <v>135</v>
      </c>
    </row>
    <row r="22" spans="1:26" x14ac:dyDescent="0.25">
      <c r="A22" t="s">
        <v>20</v>
      </c>
      <c r="B22" t="s">
        <v>0</v>
      </c>
      <c r="C22" t="s">
        <v>1</v>
      </c>
      <c r="D22">
        <v>1.29174836183665E-3</v>
      </c>
      <c r="E22">
        <v>80</v>
      </c>
      <c r="F22">
        <v>267</v>
      </c>
      <c r="G22" t="str">
        <f t="shared" si="0"/>
        <v>OOD</v>
      </c>
      <c r="H22">
        <f t="shared" si="1"/>
        <v>1</v>
      </c>
      <c r="J22">
        <f t="shared" si="2"/>
        <v>80</v>
      </c>
      <c r="K22">
        <f t="shared" si="3"/>
        <v>0</v>
      </c>
      <c r="L22">
        <f t="shared" si="4"/>
        <v>0</v>
      </c>
      <c r="M22">
        <f t="shared" si="5"/>
        <v>0</v>
      </c>
      <c r="N22">
        <f t="shared" si="6"/>
        <v>0</v>
      </c>
      <c r="Q22" t="s">
        <v>1</v>
      </c>
      <c r="R22">
        <v>0</v>
      </c>
      <c r="S22">
        <v>0</v>
      </c>
      <c r="T22">
        <v>0</v>
      </c>
      <c r="U22">
        <v>1</v>
      </c>
      <c r="V22">
        <v>81</v>
      </c>
      <c r="X22">
        <f t="shared" si="7"/>
        <v>0.98780487804878048</v>
      </c>
      <c r="Y22">
        <f t="shared" si="8"/>
        <v>1.2195121951219513E-2</v>
      </c>
      <c r="Z22">
        <f t="shared" si="9"/>
        <v>82</v>
      </c>
    </row>
    <row r="23" spans="1:26" x14ac:dyDescent="0.25">
      <c r="A23" t="s">
        <v>20</v>
      </c>
      <c r="B23" t="s">
        <v>0</v>
      </c>
      <c r="C23" t="s">
        <v>6</v>
      </c>
      <c r="D23">
        <v>1.3877865889011601E-3</v>
      </c>
      <c r="E23">
        <v>38</v>
      </c>
      <c r="F23">
        <v>267</v>
      </c>
      <c r="G23" t="str">
        <f t="shared" si="0"/>
        <v>OOD</v>
      </c>
      <c r="H23">
        <f t="shared" si="1"/>
        <v>1</v>
      </c>
      <c r="J23">
        <f t="shared" si="2"/>
        <v>38</v>
      </c>
      <c r="K23">
        <f t="shared" si="3"/>
        <v>0</v>
      </c>
      <c r="L23">
        <f t="shared" si="4"/>
        <v>0</v>
      </c>
      <c r="M23">
        <f t="shared" si="5"/>
        <v>0</v>
      </c>
      <c r="N23">
        <f t="shared" si="6"/>
        <v>0</v>
      </c>
    </row>
    <row r="24" spans="1:26" x14ac:dyDescent="0.25">
      <c r="A24" t="s">
        <v>20</v>
      </c>
      <c r="B24" t="s">
        <v>0</v>
      </c>
      <c r="C24" t="s">
        <v>8</v>
      </c>
      <c r="D24">
        <v>1.41239958146545E-3</v>
      </c>
      <c r="E24">
        <v>133</v>
      </c>
      <c r="F24">
        <v>267</v>
      </c>
      <c r="G24" t="str">
        <f t="shared" si="0"/>
        <v>OOD</v>
      </c>
      <c r="H24">
        <f t="shared" si="1"/>
        <v>1</v>
      </c>
      <c r="J24">
        <f t="shared" si="2"/>
        <v>133</v>
      </c>
      <c r="K24">
        <f t="shared" si="3"/>
        <v>0</v>
      </c>
      <c r="L24">
        <f t="shared" si="4"/>
        <v>0</v>
      </c>
      <c r="M24">
        <f t="shared" si="5"/>
        <v>0</v>
      </c>
      <c r="N24">
        <f t="shared" si="6"/>
        <v>0</v>
      </c>
    </row>
    <row r="25" spans="1:26" x14ac:dyDescent="0.25">
      <c r="A25" t="s">
        <v>20</v>
      </c>
      <c r="B25" t="s">
        <v>0</v>
      </c>
      <c r="C25" t="s">
        <v>5</v>
      </c>
      <c r="D25">
        <v>1.45319240982644E-3</v>
      </c>
      <c r="E25">
        <v>16</v>
      </c>
      <c r="F25">
        <v>267</v>
      </c>
      <c r="G25" t="str">
        <f t="shared" si="0"/>
        <v>OOD</v>
      </c>
      <c r="H25">
        <f t="shared" si="1"/>
        <v>1</v>
      </c>
      <c r="J25">
        <f t="shared" si="2"/>
        <v>16</v>
      </c>
      <c r="K25">
        <f t="shared" si="3"/>
        <v>0</v>
      </c>
      <c r="L25">
        <f t="shared" si="4"/>
        <v>0</v>
      </c>
      <c r="M25">
        <f t="shared" si="5"/>
        <v>0</v>
      </c>
      <c r="N25">
        <f t="shared" si="6"/>
        <v>0</v>
      </c>
    </row>
    <row r="26" spans="1:26" x14ac:dyDescent="0.25">
      <c r="A26" t="s">
        <v>20</v>
      </c>
      <c r="B26" t="s">
        <v>2</v>
      </c>
      <c r="C26" t="s">
        <v>8</v>
      </c>
      <c r="D26">
        <v>1.4273699517140001E-3</v>
      </c>
      <c r="E26">
        <v>21</v>
      </c>
      <c r="F26">
        <v>118</v>
      </c>
      <c r="G26" t="str">
        <f t="shared" si="0"/>
        <v>OOD</v>
      </c>
      <c r="H26">
        <f t="shared" si="1"/>
        <v>1</v>
      </c>
      <c r="J26">
        <f t="shared" si="2"/>
        <v>21</v>
      </c>
      <c r="K26">
        <f t="shared" si="3"/>
        <v>0</v>
      </c>
      <c r="L26">
        <f t="shared" si="4"/>
        <v>0</v>
      </c>
      <c r="M26">
        <f t="shared" si="5"/>
        <v>0</v>
      </c>
      <c r="N26">
        <f t="shared" si="6"/>
        <v>0</v>
      </c>
    </row>
    <row r="27" spans="1:26" x14ac:dyDescent="0.25">
      <c r="A27" t="s">
        <v>20</v>
      </c>
      <c r="B27" t="s">
        <v>2</v>
      </c>
      <c r="C27" t="s">
        <v>1</v>
      </c>
      <c r="D27">
        <v>1.4909128372206299E-3</v>
      </c>
      <c r="E27">
        <v>61</v>
      </c>
      <c r="F27">
        <v>118</v>
      </c>
      <c r="G27" t="str">
        <f t="shared" si="0"/>
        <v>OOD</v>
      </c>
      <c r="H27">
        <f t="shared" si="1"/>
        <v>1</v>
      </c>
      <c r="J27">
        <f t="shared" si="2"/>
        <v>61</v>
      </c>
      <c r="K27">
        <f t="shared" si="3"/>
        <v>0</v>
      </c>
      <c r="L27">
        <f t="shared" si="4"/>
        <v>0</v>
      </c>
      <c r="M27">
        <f t="shared" si="5"/>
        <v>0</v>
      </c>
      <c r="N27">
        <f t="shared" si="6"/>
        <v>0</v>
      </c>
    </row>
    <row r="28" spans="1:26" x14ac:dyDescent="0.25">
      <c r="A28" t="s">
        <v>20</v>
      </c>
      <c r="B28" t="s">
        <v>2</v>
      </c>
      <c r="C28" t="s">
        <v>5</v>
      </c>
      <c r="D28">
        <v>1.4610013287678701E-3</v>
      </c>
      <c r="E28">
        <v>34</v>
      </c>
      <c r="F28">
        <v>118</v>
      </c>
      <c r="G28" t="str">
        <f t="shared" si="0"/>
        <v>OOD</v>
      </c>
      <c r="H28">
        <f t="shared" si="1"/>
        <v>1</v>
      </c>
      <c r="J28">
        <f t="shared" si="2"/>
        <v>34</v>
      </c>
      <c r="K28">
        <f t="shared" si="3"/>
        <v>0</v>
      </c>
      <c r="L28">
        <f t="shared" si="4"/>
        <v>0</v>
      </c>
      <c r="M28">
        <f t="shared" si="5"/>
        <v>0</v>
      </c>
      <c r="N28">
        <f t="shared" si="6"/>
        <v>0</v>
      </c>
    </row>
    <row r="29" spans="1:26" x14ac:dyDescent="0.25">
      <c r="A29" t="s">
        <v>20</v>
      </c>
      <c r="B29" t="s">
        <v>2</v>
      </c>
      <c r="C29" t="s">
        <v>6</v>
      </c>
      <c r="D29">
        <v>1.4495622599497401E-3</v>
      </c>
      <c r="E29">
        <v>2</v>
      </c>
      <c r="F29">
        <v>118</v>
      </c>
      <c r="G29" t="str">
        <f t="shared" si="0"/>
        <v>OOD</v>
      </c>
      <c r="H29">
        <f t="shared" si="1"/>
        <v>1</v>
      </c>
      <c r="J29">
        <f t="shared" si="2"/>
        <v>2</v>
      </c>
      <c r="K29">
        <f t="shared" si="3"/>
        <v>0</v>
      </c>
      <c r="L29">
        <f t="shared" si="4"/>
        <v>0</v>
      </c>
      <c r="M29">
        <f t="shared" si="5"/>
        <v>0</v>
      </c>
      <c r="N29">
        <f t="shared" si="6"/>
        <v>0</v>
      </c>
    </row>
    <row r="30" spans="1:26" x14ac:dyDescent="0.25">
      <c r="A30" t="s">
        <v>20</v>
      </c>
      <c r="B30" t="s">
        <v>4</v>
      </c>
      <c r="C30" t="s">
        <v>5</v>
      </c>
      <c r="D30">
        <v>1.38300412686587E-3</v>
      </c>
      <c r="E30">
        <v>205</v>
      </c>
      <c r="F30">
        <v>254</v>
      </c>
      <c r="G30" t="str">
        <f t="shared" si="0"/>
        <v>OOD</v>
      </c>
      <c r="H30">
        <f t="shared" si="1"/>
        <v>1</v>
      </c>
      <c r="J30">
        <f t="shared" si="2"/>
        <v>205</v>
      </c>
      <c r="K30">
        <f t="shared" si="3"/>
        <v>0</v>
      </c>
      <c r="L30">
        <f t="shared" si="4"/>
        <v>0</v>
      </c>
      <c r="M30">
        <f t="shared" si="5"/>
        <v>0</v>
      </c>
      <c r="N30">
        <f t="shared" si="6"/>
        <v>0</v>
      </c>
    </row>
    <row r="31" spans="1:26" x14ac:dyDescent="0.25">
      <c r="A31" t="s">
        <v>20</v>
      </c>
      <c r="B31" t="s">
        <v>4</v>
      </c>
      <c r="C31" t="s">
        <v>8</v>
      </c>
      <c r="D31">
        <v>1.4377683148030999E-3</v>
      </c>
      <c r="E31">
        <v>23</v>
      </c>
      <c r="F31">
        <v>254</v>
      </c>
      <c r="G31" t="str">
        <f t="shared" si="0"/>
        <v>OOD</v>
      </c>
      <c r="H31">
        <f t="shared" si="1"/>
        <v>1</v>
      </c>
      <c r="J31">
        <f t="shared" si="2"/>
        <v>23</v>
      </c>
      <c r="K31">
        <f t="shared" si="3"/>
        <v>0</v>
      </c>
      <c r="L31">
        <f t="shared" si="4"/>
        <v>0</v>
      </c>
      <c r="M31">
        <f t="shared" si="5"/>
        <v>0</v>
      </c>
      <c r="N31">
        <f t="shared" si="6"/>
        <v>0</v>
      </c>
    </row>
    <row r="32" spans="1:26" x14ac:dyDescent="0.25">
      <c r="A32" t="s">
        <v>20</v>
      </c>
      <c r="B32" t="s">
        <v>4</v>
      </c>
      <c r="C32" t="s">
        <v>1</v>
      </c>
      <c r="D32">
        <v>1.37264857068657E-3</v>
      </c>
      <c r="E32">
        <v>25</v>
      </c>
      <c r="F32">
        <v>254</v>
      </c>
      <c r="G32" t="str">
        <f t="shared" si="0"/>
        <v>OOD</v>
      </c>
      <c r="H32">
        <f t="shared" si="1"/>
        <v>1</v>
      </c>
      <c r="J32">
        <f t="shared" si="2"/>
        <v>25</v>
      </c>
      <c r="K32">
        <f t="shared" si="3"/>
        <v>0</v>
      </c>
      <c r="L32">
        <f t="shared" si="4"/>
        <v>0</v>
      </c>
      <c r="M32">
        <f t="shared" si="5"/>
        <v>0</v>
      </c>
      <c r="N32">
        <f t="shared" si="6"/>
        <v>0</v>
      </c>
    </row>
    <row r="33" spans="1:14" x14ac:dyDescent="0.25">
      <c r="A33" t="s">
        <v>20</v>
      </c>
      <c r="B33" t="s">
        <v>4</v>
      </c>
      <c r="C33" t="s">
        <v>6</v>
      </c>
      <c r="D33">
        <v>1.5226812101900499E-3</v>
      </c>
      <c r="E33">
        <v>1</v>
      </c>
      <c r="F33">
        <v>254</v>
      </c>
      <c r="G33" t="str">
        <f t="shared" si="0"/>
        <v>ID</v>
      </c>
      <c r="H33">
        <f t="shared" si="1"/>
        <v>2</v>
      </c>
      <c r="J33">
        <f t="shared" si="2"/>
        <v>0</v>
      </c>
      <c r="K33">
        <f t="shared" si="3"/>
        <v>1</v>
      </c>
      <c r="L33">
        <f t="shared" si="4"/>
        <v>0</v>
      </c>
      <c r="M33">
        <f t="shared" si="5"/>
        <v>0</v>
      </c>
      <c r="N33">
        <f t="shared" si="6"/>
        <v>0</v>
      </c>
    </row>
    <row r="34" spans="1:14" x14ac:dyDescent="0.25">
      <c r="A34" t="s">
        <v>20</v>
      </c>
      <c r="B34" t="s">
        <v>18</v>
      </c>
      <c r="C34" t="s">
        <v>1</v>
      </c>
      <c r="D34">
        <v>1.46510882231478E-3</v>
      </c>
      <c r="E34">
        <v>65</v>
      </c>
      <c r="F34">
        <v>77</v>
      </c>
      <c r="G34" t="str">
        <f t="shared" ref="G34:G50" si="10">IF(D34&gt;=$P$2,"ID","OOD")</f>
        <v>OOD</v>
      </c>
      <c r="H34">
        <f t="shared" ref="H34:H50" si="11">IF(AND(A34="OOD",G34="OOD"),1,IF(AND(A34="OOD",G34="ID"),2,IF(AND(A34="ID",G34="OOD"),3,IF(AND(A34="ID",G34="ID",B34&lt;&gt;C34),4,IF(AND(A34="ID",G34="ID",B34=C34),5,"!!!")))))</f>
        <v>1</v>
      </c>
      <c r="J34">
        <f t="shared" ref="J34:J50" si="12">IF($H34=$J$1,$E34,0)</f>
        <v>65</v>
      </c>
      <c r="K34">
        <f t="shared" ref="K34:K50" si="13">IF($H34=$K$1,$E34,0)</f>
        <v>0</v>
      </c>
      <c r="L34">
        <f t="shared" ref="L34:L50" si="14">IF($H34=$L$1,$E34,0)</f>
        <v>0</v>
      </c>
      <c r="M34">
        <f t="shared" ref="M34:M50" si="15">IF($H34=$M$1,$E34,0)</f>
        <v>0</v>
      </c>
      <c r="N34">
        <f t="shared" ref="N34:N50" si="16">IF($H34=$N$1,$E34,0)</f>
        <v>0</v>
      </c>
    </row>
    <row r="35" spans="1:14" x14ac:dyDescent="0.25">
      <c r="A35" t="s">
        <v>20</v>
      </c>
      <c r="B35" t="s">
        <v>18</v>
      </c>
      <c r="C35" t="s">
        <v>6</v>
      </c>
      <c r="D35">
        <v>1.44052016548812E-3</v>
      </c>
      <c r="E35">
        <v>3</v>
      </c>
      <c r="F35">
        <v>77</v>
      </c>
      <c r="G35" t="str">
        <f t="shared" si="10"/>
        <v>OOD</v>
      </c>
      <c r="H35">
        <f t="shared" si="11"/>
        <v>1</v>
      </c>
      <c r="J35">
        <f t="shared" si="12"/>
        <v>3</v>
      </c>
      <c r="K35">
        <f t="shared" si="13"/>
        <v>0</v>
      </c>
      <c r="L35">
        <f t="shared" si="14"/>
        <v>0</v>
      </c>
      <c r="M35">
        <f t="shared" si="15"/>
        <v>0</v>
      </c>
      <c r="N35">
        <f t="shared" si="16"/>
        <v>0</v>
      </c>
    </row>
    <row r="36" spans="1:14" x14ac:dyDescent="0.25">
      <c r="A36" t="s">
        <v>20</v>
      </c>
      <c r="B36" t="s">
        <v>18</v>
      </c>
      <c r="C36" t="s">
        <v>5</v>
      </c>
      <c r="D36">
        <v>1.4502353216004E-3</v>
      </c>
      <c r="E36">
        <v>9</v>
      </c>
      <c r="F36">
        <v>77</v>
      </c>
      <c r="G36" t="str">
        <f t="shared" si="10"/>
        <v>OOD</v>
      </c>
      <c r="H36">
        <f t="shared" si="11"/>
        <v>1</v>
      </c>
      <c r="J36">
        <f t="shared" si="12"/>
        <v>9</v>
      </c>
      <c r="K36">
        <f t="shared" si="13"/>
        <v>0</v>
      </c>
      <c r="L36">
        <f t="shared" si="14"/>
        <v>0</v>
      </c>
      <c r="M36">
        <f t="shared" si="15"/>
        <v>0</v>
      </c>
      <c r="N36">
        <f t="shared" si="16"/>
        <v>0</v>
      </c>
    </row>
    <row r="37" spans="1:14" x14ac:dyDescent="0.25">
      <c r="A37" t="s">
        <v>20</v>
      </c>
      <c r="B37" t="s">
        <v>17</v>
      </c>
      <c r="C37" t="s">
        <v>1</v>
      </c>
      <c r="D37">
        <v>1.4517976716394701E-3</v>
      </c>
      <c r="E37">
        <v>199</v>
      </c>
      <c r="F37">
        <v>201</v>
      </c>
      <c r="G37" t="str">
        <f t="shared" si="10"/>
        <v>OOD</v>
      </c>
      <c r="H37">
        <f t="shared" si="11"/>
        <v>1</v>
      </c>
      <c r="J37">
        <f t="shared" si="12"/>
        <v>199</v>
      </c>
      <c r="K37">
        <f t="shared" si="13"/>
        <v>0</v>
      </c>
      <c r="L37">
        <f t="shared" si="14"/>
        <v>0</v>
      </c>
      <c r="M37">
        <f t="shared" si="15"/>
        <v>0</v>
      </c>
      <c r="N37">
        <f t="shared" si="16"/>
        <v>0</v>
      </c>
    </row>
    <row r="38" spans="1:14" x14ac:dyDescent="0.25">
      <c r="A38" t="s">
        <v>20</v>
      </c>
      <c r="B38" t="s">
        <v>17</v>
      </c>
      <c r="C38" t="s">
        <v>8</v>
      </c>
      <c r="D38">
        <v>1.45973003236576E-3</v>
      </c>
      <c r="E38">
        <v>2</v>
      </c>
      <c r="F38">
        <v>201</v>
      </c>
      <c r="G38" t="str">
        <f t="shared" si="10"/>
        <v>OOD</v>
      </c>
      <c r="H38">
        <f t="shared" si="11"/>
        <v>1</v>
      </c>
      <c r="J38">
        <f t="shared" si="12"/>
        <v>2</v>
      </c>
      <c r="K38">
        <f t="shared" si="13"/>
        <v>0</v>
      </c>
      <c r="L38">
        <f t="shared" si="14"/>
        <v>0</v>
      </c>
      <c r="M38">
        <f t="shared" si="15"/>
        <v>0</v>
      </c>
      <c r="N38">
        <f t="shared" si="16"/>
        <v>0</v>
      </c>
    </row>
    <row r="39" spans="1:14" x14ac:dyDescent="0.25">
      <c r="A39" t="s">
        <v>20</v>
      </c>
      <c r="B39" t="s">
        <v>16</v>
      </c>
      <c r="C39" t="s">
        <v>1</v>
      </c>
      <c r="D39">
        <v>1.44945818817976E-3</v>
      </c>
      <c r="E39">
        <v>66</v>
      </c>
      <c r="F39">
        <v>117</v>
      </c>
      <c r="G39" t="str">
        <f t="shared" si="10"/>
        <v>OOD</v>
      </c>
      <c r="H39">
        <f t="shared" si="11"/>
        <v>1</v>
      </c>
      <c r="J39">
        <f t="shared" si="12"/>
        <v>66</v>
      </c>
      <c r="K39">
        <f t="shared" si="13"/>
        <v>0</v>
      </c>
      <c r="L39">
        <f t="shared" si="14"/>
        <v>0</v>
      </c>
      <c r="M39">
        <f t="shared" si="15"/>
        <v>0</v>
      </c>
      <c r="N39">
        <f t="shared" si="16"/>
        <v>0</v>
      </c>
    </row>
    <row r="40" spans="1:14" x14ac:dyDescent="0.25">
      <c r="A40" t="s">
        <v>20</v>
      </c>
      <c r="B40" t="s">
        <v>16</v>
      </c>
      <c r="C40" t="s">
        <v>8</v>
      </c>
      <c r="D40">
        <v>1.4632396632805399E-3</v>
      </c>
      <c r="E40">
        <v>24</v>
      </c>
      <c r="F40">
        <v>117</v>
      </c>
      <c r="G40" t="str">
        <f t="shared" si="10"/>
        <v>OOD</v>
      </c>
      <c r="H40">
        <f t="shared" si="11"/>
        <v>1</v>
      </c>
      <c r="J40">
        <f t="shared" si="12"/>
        <v>24</v>
      </c>
      <c r="K40">
        <f t="shared" si="13"/>
        <v>0</v>
      </c>
      <c r="L40">
        <f t="shared" si="14"/>
        <v>0</v>
      </c>
      <c r="M40">
        <f t="shared" si="15"/>
        <v>0</v>
      </c>
      <c r="N40">
        <f t="shared" si="16"/>
        <v>0</v>
      </c>
    </row>
    <row r="41" spans="1:14" x14ac:dyDescent="0.25">
      <c r="A41" t="s">
        <v>20</v>
      </c>
      <c r="B41" t="s">
        <v>16</v>
      </c>
      <c r="C41" t="s">
        <v>6</v>
      </c>
      <c r="D41">
        <v>1.4058189350180301E-3</v>
      </c>
      <c r="E41">
        <v>10</v>
      </c>
      <c r="F41">
        <v>117</v>
      </c>
      <c r="G41" t="str">
        <f t="shared" si="10"/>
        <v>OOD</v>
      </c>
      <c r="H41">
        <f t="shared" si="11"/>
        <v>1</v>
      </c>
      <c r="J41">
        <f t="shared" si="12"/>
        <v>10</v>
      </c>
      <c r="K41">
        <f t="shared" si="13"/>
        <v>0</v>
      </c>
      <c r="L41">
        <f t="shared" si="14"/>
        <v>0</v>
      </c>
      <c r="M41">
        <f t="shared" si="15"/>
        <v>0</v>
      </c>
      <c r="N41">
        <f t="shared" si="16"/>
        <v>0</v>
      </c>
    </row>
    <row r="42" spans="1:14" x14ac:dyDescent="0.25">
      <c r="A42" t="s">
        <v>20</v>
      </c>
      <c r="B42" t="s">
        <v>16</v>
      </c>
      <c r="C42" t="s">
        <v>5</v>
      </c>
      <c r="D42">
        <v>1.41514158424209E-3</v>
      </c>
      <c r="E42">
        <v>17</v>
      </c>
      <c r="F42">
        <v>117</v>
      </c>
      <c r="G42" t="str">
        <f t="shared" si="10"/>
        <v>OOD</v>
      </c>
      <c r="H42">
        <f t="shared" si="11"/>
        <v>1</v>
      </c>
      <c r="J42">
        <f t="shared" si="12"/>
        <v>17</v>
      </c>
      <c r="K42">
        <f t="shared" si="13"/>
        <v>0</v>
      </c>
      <c r="L42">
        <f t="shared" si="14"/>
        <v>0</v>
      </c>
      <c r="M42">
        <f t="shared" si="15"/>
        <v>0</v>
      </c>
      <c r="N42">
        <f t="shared" si="16"/>
        <v>0</v>
      </c>
    </row>
    <row r="43" spans="1:14" x14ac:dyDescent="0.25">
      <c r="A43" t="s">
        <v>20</v>
      </c>
      <c r="B43" t="s">
        <v>15</v>
      </c>
      <c r="C43" t="s">
        <v>1</v>
      </c>
      <c r="D43">
        <v>1.3649753421001701E-3</v>
      </c>
      <c r="E43">
        <v>120</v>
      </c>
      <c r="F43">
        <v>347</v>
      </c>
      <c r="G43" t="str">
        <f t="shared" si="10"/>
        <v>OOD</v>
      </c>
      <c r="H43">
        <f t="shared" si="11"/>
        <v>1</v>
      </c>
      <c r="J43">
        <f t="shared" si="12"/>
        <v>120</v>
      </c>
      <c r="K43">
        <f t="shared" si="13"/>
        <v>0</v>
      </c>
      <c r="L43">
        <f t="shared" si="14"/>
        <v>0</v>
      </c>
      <c r="M43">
        <f t="shared" si="15"/>
        <v>0</v>
      </c>
      <c r="N43">
        <f t="shared" si="16"/>
        <v>0</v>
      </c>
    </row>
    <row r="44" spans="1:14" x14ac:dyDescent="0.25">
      <c r="A44" t="s">
        <v>20</v>
      </c>
      <c r="B44" t="s">
        <v>15</v>
      </c>
      <c r="C44" t="s">
        <v>6</v>
      </c>
      <c r="D44">
        <v>1.43021869826043E-3</v>
      </c>
      <c r="E44">
        <v>128</v>
      </c>
      <c r="F44">
        <v>347</v>
      </c>
      <c r="G44" t="str">
        <f t="shared" si="10"/>
        <v>OOD</v>
      </c>
      <c r="H44">
        <f t="shared" si="11"/>
        <v>1</v>
      </c>
      <c r="J44">
        <f t="shared" si="12"/>
        <v>128</v>
      </c>
      <c r="K44">
        <f t="shared" si="13"/>
        <v>0</v>
      </c>
      <c r="L44">
        <f t="shared" si="14"/>
        <v>0</v>
      </c>
      <c r="M44">
        <f t="shared" si="15"/>
        <v>0</v>
      </c>
      <c r="N44">
        <f t="shared" si="16"/>
        <v>0</v>
      </c>
    </row>
    <row r="45" spans="1:14" x14ac:dyDescent="0.25">
      <c r="A45" t="s">
        <v>20</v>
      </c>
      <c r="B45" t="s">
        <v>15</v>
      </c>
      <c r="C45" t="s">
        <v>8</v>
      </c>
      <c r="D45">
        <v>1.44984752549453E-3</v>
      </c>
      <c r="E45">
        <v>97</v>
      </c>
      <c r="F45">
        <v>347</v>
      </c>
      <c r="G45" t="str">
        <f t="shared" si="10"/>
        <v>OOD</v>
      </c>
      <c r="H45">
        <f t="shared" si="11"/>
        <v>1</v>
      </c>
      <c r="J45">
        <f t="shared" si="12"/>
        <v>97</v>
      </c>
      <c r="K45">
        <f t="shared" si="13"/>
        <v>0</v>
      </c>
      <c r="L45">
        <f t="shared" si="14"/>
        <v>0</v>
      </c>
      <c r="M45">
        <f t="shared" si="15"/>
        <v>0</v>
      </c>
      <c r="N45">
        <f t="shared" si="16"/>
        <v>0</v>
      </c>
    </row>
    <row r="46" spans="1:14" x14ac:dyDescent="0.25">
      <c r="A46" t="s">
        <v>20</v>
      </c>
      <c r="B46" t="s">
        <v>15</v>
      </c>
      <c r="C46" t="s">
        <v>5</v>
      </c>
      <c r="D46">
        <v>1.4038744848221499E-3</v>
      </c>
      <c r="E46">
        <v>2</v>
      </c>
      <c r="F46">
        <v>347</v>
      </c>
      <c r="G46" t="str">
        <f t="shared" si="10"/>
        <v>OOD</v>
      </c>
      <c r="H46">
        <f t="shared" si="11"/>
        <v>1</v>
      </c>
      <c r="J46">
        <f t="shared" si="12"/>
        <v>2</v>
      </c>
      <c r="K46">
        <f t="shared" si="13"/>
        <v>0</v>
      </c>
      <c r="L46">
        <f t="shared" si="14"/>
        <v>0</v>
      </c>
      <c r="M46">
        <f t="shared" si="15"/>
        <v>0</v>
      </c>
      <c r="N46">
        <f t="shared" si="16"/>
        <v>0</v>
      </c>
    </row>
    <row r="47" spans="1:14" x14ac:dyDescent="0.25">
      <c r="A47" t="s">
        <v>20</v>
      </c>
      <c r="B47" t="s">
        <v>14</v>
      </c>
      <c r="C47" t="s">
        <v>1</v>
      </c>
      <c r="D47">
        <v>1.4167797635309301E-3</v>
      </c>
      <c r="E47">
        <v>68</v>
      </c>
      <c r="F47">
        <v>105</v>
      </c>
      <c r="G47" t="str">
        <f t="shared" si="10"/>
        <v>OOD</v>
      </c>
      <c r="H47">
        <f t="shared" si="11"/>
        <v>1</v>
      </c>
      <c r="J47">
        <f t="shared" si="12"/>
        <v>68</v>
      </c>
      <c r="K47">
        <f t="shared" si="13"/>
        <v>0</v>
      </c>
      <c r="L47">
        <f t="shared" si="14"/>
        <v>0</v>
      </c>
      <c r="M47">
        <f t="shared" si="15"/>
        <v>0</v>
      </c>
      <c r="N47">
        <f t="shared" si="16"/>
        <v>0</v>
      </c>
    </row>
    <row r="48" spans="1:14" x14ac:dyDescent="0.25">
      <c r="A48" t="s">
        <v>20</v>
      </c>
      <c r="B48" t="s">
        <v>14</v>
      </c>
      <c r="C48" t="s">
        <v>5</v>
      </c>
      <c r="D48">
        <v>1.4158558092433301E-3</v>
      </c>
      <c r="E48">
        <v>29</v>
      </c>
      <c r="F48">
        <v>105</v>
      </c>
      <c r="G48" t="str">
        <f t="shared" si="10"/>
        <v>OOD</v>
      </c>
      <c r="H48">
        <f t="shared" si="11"/>
        <v>1</v>
      </c>
      <c r="J48">
        <f t="shared" si="12"/>
        <v>29</v>
      </c>
      <c r="K48">
        <f t="shared" si="13"/>
        <v>0</v>
      </c>
      <c r="L48">
        <f t="shared" si="14"/>
        <v>0</v>
      </c>
      <c r="M48">
        <f t="shared" si="15"/>
        <v>0</v>
      </c>
      <c r="N48">
        <f t="shared" si="16"/>
        <v>0</v>
      </c>
    </row>
    <row r="49" spans="1:14" x14ac:dyDescent="0.25">
      <c r="A49" t="s">
        <v>20</v>
      </c>
      <c r="B49" t="s">
        <v>14</v>
      </c>
      <c r="C49" t="s">
        <v>8</v>
      </c>
      <c r="D49">
        <v>1.46138272248208E-3</v>
      </c>
      <c r="E49">
        <v>3</v>
      </c>
      <c r="F49">
        <v>105</v>
      </c>
      <c r="G49" t="str">
        <f t="shared" si="10"/>
        <v>OOD</v>
      </c>
      <c r="H49">
        <f t="shared" si="11"/>
        <v>1</v>
      </c>
      <c r="J49">
        <f t="shared" si="12"/>
        <v>3</v>
      </c>
      <c r="K49">
        <f t="shared" si="13"/>
        <v>0</v>
      </c>
      <c r="L49">
        <f t="shared" si="14"/>
        <v>0</v>
      </c>
      <c r="M49">
        <f t="shared" si="15"/>
        <v>0</v>
      </c>
      <c r="N49">
        <f t="shared" si="16"/>
        <v>0</v>
      </c>
    </row>
    <row r="50" spans="1:14" x14ac:dyDescent="0.25">
      <c r="A50" t="s">
        <v>20</v>
      </c>
      <c r="B50" t="s">
        <v>14</v>
      </c>
      <c r="C50" t="s">
        <v>6</v>
      </c>
      <c r="D50">
        <v>1.4702186221256801E-3</v>
      </c>
      <c r="E50">
        <v>5</v>
      </c>
      <c r="F50">
        <v>105</v>
      </c>
      <c r="G50" t="str">
        <f t="shared" si="10"/>
        <v>OOD</v>
      </c>
      <c r="H50">
        <f t="shared" si="11"/>
        <v>1</v>
      </c>
      <c r="J50">
        <f t="shared" si="12"/>
        <v>5</v>
      </c>
      <c r="K50">
        <f t="shared" si="13"/>
        <v>0</v>
      </c>
      <c r="L50">
        <f t="shared" si="14"/>
        <v>0</v>
      </c>
      <c r="M50">
        <f t="shared" si="15"/>
        <v>0</v>
      </c>
      <c r="N50">
        <f t="shared" si="16"/>
        <v>0</v>
      </c>
    </row>
    <row r="52" spans="1:14" x14ac:dyDescent="0.25">
      <c r="J52">
        <f>SUM(J2:J50)</f>
        <v>2101</v>
      </c>
      <c r="K52">
        <f>SUM(K2:K50)</f>
        <v>1</v>
      </c>
      <c r="L52">
        <f>SUM(L2:L50)</f>
        <v>534</v>
      </c>
      <c r="M52">
        <f>SUM(M2:M50)</f>
        <v>5</v>
      </c>
      <c r="N52">
        <f>SUM(N2:N50)</f>
        <v>249</v>
      </c>
    </row>
  </sheetData>
  <conditionalFormatting sqref="X9:X22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{4A37EF85-4360-4971-BB4C-9A263DA03B31}</x14:id>
        </ext>
      </extLst>
    </cfRule>
  </conditionalFormatting>
  <conditionalFormatting sqref="Y9:Y22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{377A69C7-48C1-47F8-BB41-9A71001E4FB0}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Macro1">
                <anchor moveWithCells="1">
                  <from>
                    <xdr:col>14</xdr:col>
                    <xdr:colOff>1076325</xdr:colOff>
                    <xdr:row>1</xdr:row>
                    <xdr:rowOff>66675</xdr:rowOff>
                  </from>
                  <to>
                    <xdr:col>14</xdr:col>
                    <xdr:colOff>1600200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37EF85-4360-4971-BB4C-9A263DA03B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X9:X22</xm:sqref>
        </x14:conditionalFormatting>
        <x14:conditionalFormatting xmlns:xm="http://schemas.microsoft.com/office/excel/2006/main">
          <x14:cfRule type="dataBar" id="{377A69C7-48C1-47F8-BB41-9A71001E4F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Y9:Y22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CE_L2 SR1</vt:lpstr>
      <vt:lpstr>CE_L2_SR2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Latino  Salvatore</dc:creator>
  <cp:lastModifiedBy>Latino  Salvatore</cp:lastModifiedBy>
  <dcterms:created xsi:type="dcterms:W3CDTF">2024-03-10T14:30:21Z</dcterms:created>
  <dcterms:modified xsi:type="dcterms:W3CDTF">2024-06-14T18:42:40Z</dcterms:modified>
</cp:coreProperties>
</file>